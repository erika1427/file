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メニュー入力" sheetId="1" r:id="rId4"/>
    <sheet state="visible" name="ご利用方法・設定" sheetId="2" r:id="rId5"/>
  </sheets>
  <definedNames/>
  <calcPr/>
  <extLst>
    <ext uri="GoogleSheetsCustomDataVersion2">
      <go:sheetsCustomData xmlns:go="http://customooxmlschemas.google.com/" r:id="rId6" roundtripDataChecksum="iuxFG+4zPAXMjTLt0ezZSyBdMYrbG30eJZ2xRfBlp3M="/>
    </ext>
  </extLst>
</workbook>
</file>

<file path=xl/sharedStrings.xml><?xml version="1.0" encoding="utf-8"?>
<sst xmlns="http://schemas.openxmlformats.org/spreadsheetml/2006/main" count="416" uniqueCount="249">
  <si>
    <t>ご利用方法・設定</t>
  </si>
  <si>
    <t>メニュー素材リスト</t>
  </si>
  <si>
    <t>入力区分</t>
  </si>
  <si>
    <t>黄色セルに日本語・番号・価格を入力してください。青色セルはGoogleスプレッドシート上で自動翻訳／自動計算されます。</t>
  </si>
  <si>
    <t>内容</t>
  </si>
  <si>
    <t>黄色セル</t>
  </si>
  <si>
    <t>飲食店ご担当者様が入力するセルです。</t>
  </si>
  <si>
    <t>メニューカテゴリ</t>
  </si>
  <si>
    <t>青色セル</t>
  </si>
  <si>
    <t>自動翻訳または自動計算のセルです。原則として入力・削除しないでください。</t>
  </si>
  <si>
    <t>翻訳について</t>
  </si>
  <si>
    <t>GOOGLETRANSLATE関数を使用しています。Googleスプレッドシートに取り込むと自動翻訳されます。固有名詞や料理名は公開前に必ず確認してください。</t>
  </si>
  <si>
    <t>メニュー番号</t>
  </si>
  <si>
    <t>メニュー名（日本語）</t>
  </si>
  <si>
    <t>Menu name（英語）</t>
  </si>
  <si>
    <t>메뉴명（韓国語）</t>
  </si>
  <si>
    <t>使用食材（日本語）</t>
  </si>
  <si>
    <t>Ingredients（英語）</t>
  </si>
  <si>
    <t>사용 재료（韓国語）</t>
  </si>
  <si>
    <t>消費税率（設定）</t>
  </si>
  <si>
    <t>商品価格（税抜）</t>
  </si>
  <si>
    <t>商品価格（税込）</t>
  </si>
  <si>
    <t>アレルギー表示（日本語）</t>
  </si>
  <si>
    <t>Allergy information（英語）</t>
  </si>
  <si>
    <t>알레르기 표시（韓国語）</t>
  </si>
  <si>
    <t>備考・写真ファイル名</t>
  </si>
  <si>
    <t>税率の注意</t>
  </si>
  <si>
    <t>記入例</t>
  </si>
  <si>
    <t>初期値は店内飲食を想定した10%です。提供形態・適用税率に合わせて変更してください。</t>
  </si>
  <si>
    <t>丼ぶり</t>
  </si>
  <si>
    <t>入力時の注意</t>
  </si>
  <si>
    <t>食材は『かに、いくら、米』のように読点で区切ると確認しやすくなります。アレルギーは店舗で確認済みの正式情報を入力してください。</t>
  </si>
  <si>
    <t>海鮮丼</t>
  </si>
  <si>
    <t>蟹、えび、ほたて、鮭、いくら</t>
  </si>
  <si>
    <t>かに、えび</t>
  </si>
  <si>
    <t>かに丼</t>
  </si>
  <si>
    <t>かに</t>
  </si>
  <si>
    <t>２</t>
  </si>
  <si>
    <t>蟹工船丼</t>
  </si>
  <si>
    <t>３</t>
  </si>
  <si>
    <t>かに・いくら丼</t>
  </si>
  <si>
    <t>かに・いくら</t>
  </si>
  <si>
    <t>４</t>
  </si>
  <si>
    <t>かに・うに丼</t>
  </si>
  <si>
    <t>かに・うに</t>
  </si>
  <si>
    <t>５</t>
  </si>
  <si>
    <t>かに・うに・いくら丼</t>
  </si>
  <si>
    <t>かに・うに・いくら</t>
  </si>
  <si>
    <t>６</t>
  </si>
  <si>
    <t>うに・いくら丼</t>
  </si>
  <si>
    <t>うに・いくら</t>
  </si>
  <si>
    <t>いくら</t>
  </si>
  <si>
    <t>７</t>
  </si>
  <si>
    <t>いくら丼</t>
  </si>
  <si>
    <t>８</t>
  </si>
  <si>
    <t>うに丼</t>
  </si>
  <si>
    <t>うに</t>
  </si>
  <si>
    <t>９</t>
  </si>
  <si>
    <t>サーモン・まぐろ丼</t>
  </si>
  <si>
    <t>サーモン・まぐろ</t>
  </si>
  <si>
    <t>鮭</t>
  </si>
  <si>
    <t>１０</t>
  </si>
  <si>
    <t>サーモン・いくら丼</t>
  </si>
  <si>
    <t>サーモン・いくら</t>
  </si>
  <si>
    <t>いくら・鮭</t>
  </si>
  <si>
    <t>海鮮五色丼</t>
  </si>
  <si>
    <t>かに・甘エビ・サーモン・まぐろ・ホタテ</t>
  </si>
  <si>
    <t>かに・えび・鮭</t>
  </si>
  <si>
    <t>１３</t>
  </si>
  <si>
    <t>お刺身盛合せ丼</t>
  </si>
  <si>
    <t>タラバ刺身・ボタン海老・サーモン・まぐろ・ホタテ・うに・いくら・かに爪</t>
  </si>
  <si>
    <t>かに・えび・鮭・いくら</t>
  </si>
  <si>
    <t>１４</t>
  </si>
  <si>
    <t>かにのお刺身盛合せ丼</t>
  </si>
  <si>
    <t>ズワイガニ刺身3本・タラバ刺身</t>
  </si>
  <si>
    <t>１５</t>
  </si>
  <si>
    <t>たらば蟹のお刺身丼</t>
  </si>
  <si>
    <t>たらばがにの刺身</t>
  </si>
  <si>
    <t>１６</t>
  </si>
  <si>
    <t>蒸しウニ・いくら丼</t>
  </si>
  <si>
    <t>蒸しウニ・いくら</t>
  </si>
  <si>
    <t>１７</t>
  </si>
  <si>
    <t>蒸しウニ・かに丼</t>
  </si>
  <si>
    <t>蒸しウニ・かに</t>
  </si>
  <si>
    <t>１８</t>
  </si>
  <si>
    <t>蒸しウニ・かに・いくら丼</t>
  </si>
  <si>
    <t>蒸しウニ・かに・いくら</t>
  </si>
  <si>
    <t>０</t>
  </si>
  <si>
    <t>特得かに丼</t>
  </si>
  <si>
    <t>かに・かに爪</t>
  </si>
  <si>
    <t>１９</t>
  </si>
  <si>
    <t>北海道産たらば丼</t>
  </si>
  <si>
    <t>北海道産タラバ棒肉・かにフレーク</t>
  </si>
  <si>
    <t>２０</t>
  </si>
  <si>
    <t>北海道産たらば三昧</t>
  </si>
  <si>
    <t>北海道産タラバ棒肉・かにフレーク・うに・いくら</t>
  </si>
  <si>
    <t>２１</t>
  </si>
  <si>
    <t>北の贅沢丼</t>
  </si>
  <si>
    <t>かに・サーモン・まぐろ・ほたて・うに・いくら</t>
  </si>
  <si>
    <t>かに・いくら・鮭・えび</t>
  </si>
  <si>
    <t>２２</t>
  </si>
  <si>
    <t>特上蟹工船丼</t>
  </si>
  <si>
    <t>たらばがに・オオズワイガニ・サーモン・まぐろ・ほたて・うに・いくら・玉子</t>
  </si>
  <si>
    <t>定食</t>
  </si>
  <si>
    <t>北海道焼鮭御膳</t>
  </si>
  <si>
    <t>鮭・かに・いくら</t>
  </si>
  <si>
    <t>朝の毛蟹定食</t>
  </si>
  <si>
    <t>毛蟹・いくら</t>
  </si>
  <si>
    <t>蟹御膳</t>
  </si>
  <si>
    <t>オオズワイガニ・いくら</t>
  </si>
  <si>
    <t>お刺身定食</t>
  </si>
  <si>
    <t>かに・サーモン・ほたて・うに・いくら</t>
  </si>
  <si>
    <t>かに・いくら・鮭</t>
  </si>
  <si>
    <t>ホッケ定食</t>
  </si>
  <si>
    <t>ほっけ</t>
  </si>
  <si>
    <t>ホッケ定食（半身）</t>
  </si>
  <si>
    <t>スペシャル蟹御膳</t>
  </si>
  <si>
    <t>かに・オオズワイ・サーモン・まぐろ・いくら</t>
  </si>
  <si>
    <t>かに・鮭・いくら</t>
  </si>
  <si>
    <t>お刺身と焼き魚定食（鮭）</t>
  </si>
  <si>
    <t>サーモン・まぐろ・鮭・いくら</t>
  </si>
  <si>
    <t>鮭・いくら</t>
  </si>
  <si>
    <t>お刺身と焼き魚定食（ほっけ）</t>
  </si>
  <si>
    <t>サーモン・まぐろ・ほっけ・いくら</t>
  </si>
  <si>
    <t>天丼</t>
  </si>
  <si>
    <t>えび天丼</t>
  </si>
  <si>
    <t>えび・なす・ししとう</t>
  </si>
  <si>
    <t>えび</t>
  </si>
  <si>
    <t>かに天丼</t>
  </si>
  <si>
    <t>かに・なす・ししとう</t>
  </si>
  <si>
    <t>北海道産たらば天丼</t>
  </si>
  <si>
    <t>北海道産タラバガニ・なす・ししとう</t>
  </si>
  <si>
    <t>たらばがに天丼</t>
  </si>
  <si>
    <t>たらばがに・なす・ししとう</t>
  </si>
  <si>
    <t>かにえび天丼</t>
  </si>
  <si>
    <t>かに・えび・なす・ししとう</t>
  </si>
  <si>
    <t>ミックス天丼</t>
  </si>
  <si>
    <t>かに・えび・ほたて・サーモン・なす・ししとう</t>
  </si>
  <si>
    <t>寿司</t>
  </si>
  <si>
    <t>蟹太巻き寿司</t>
  </si>
  <si>
    <t>かに・マヨネーズ</t>
  </si>
  <si>
    <t>かに・玉子</t>
  </si>
  <si>
    <t>北海道産たらばがに寿司盛合せ</t>
  </si>
  <si>
    <t>たらばがに・かに・マヨネーズ</t>
  </si>
  <si>
    <t>北海道産たらば蟹押し寿司</t>
  </si>
  <si>
    <t>たらばがに・かに・マヨネーズ・大葉</t>
  </si>
  <si>
    <t>ズワイ海鮮巻き（4巻）</t>
  </si>
  <si>
    <t>ズワイガニ・玉子・いくら・かに・きゅうり</t>
  </si>
  <si>
    <t>かに・いくら・玉子</t>
  </si>
  <si>
    <t>ズワイ海鮮巻き（８巻）</t>
  </si>
  <si>
    <t>たらば豪快巻き（4巻）</t>
  </si>
  <si>
    <t>たらば蟹・玉子・いくら・かに・きゅうり</t>
  </si>
  <si>
    <t>たらば豪快巻き（８巻）</t>
  </si>
  <si>
    <t>季節限定</t>
  </si>
  <si>
    <t>蟹みそバターラーメン</t>
  </si>
  <si>
    <t>かに・みそ・バター・ねぎ・わかめ</t>
  </si>
  <si>
    <t>スペシャル蟹みそバターラーメン</t>
  </si>
  <si>
    <t>かに出汁あんかけ丼</t>
  </si>
  <si>
    <t>かに・ねぎ</t>
  </si>
  <si>
    <t>鰻丼</t>
  </si>
  <si>
    <t>うなぎ</t>
  </si>
  <si>
    <t>一品料理</t>
  </si>
  <si>
    <t>紅鮭イクラしょうゆ</t>
  </si>
  <si>
    <t>蟹みそ</t>
  </si>
  <si>
    <t>かに・蟹みそ</t>
  </si>
  <si>
    <t>炙りホタテ</t>
  </si>
  <si>
    <t>ほたて</t>
  </si>
  <si>
    <t>おつまみ蟹爪</t>
  </si>
  <si>
    <t>かに爪</t>
  </si>
  <si>
    <t>かにフレーク</t>
  </si>
  <si>
    <t>蟹フレーク</t>
  </si>
  <si>
    <t>ズワイ棒肉</t>
  </si>
  <si>
    <t>ズワイガニ</t>
  </si>
  <si>
    <t>ライス</t>
  </si>
  <si>
    <t>米</t>
  </si>
  <si>
    <t>蟹のお味噌汁</t>
  </si>
  <si>
    <t>蟹のお味噌汁（大）</t>
  </si>
  <si>
    <t>かに茶漬け</t>
  </si>
  <si>
    <t>かに・大葉・のり</t>
  </si>
  <si>
    <t>うに茶漬け</t>
  </si>
  <si>
    <t>うに・大葉・のり</t>
  </si>
  <si>
    <t>かに松前漬け</t>
  </si>
  <si>
    <t>かに・昆布</t>
  </si>
  <si>
    <t>かにキムチ</t>
  </si>
  <si>
    <t>かに・鮭</t>
  </si>
  <si>
    <t>お刺身</t>
  </si>
  <si>
    <t>サーモン・ボタン海老刺し</t>
  </si>
  <si>
    <t>サーモン・ボタン海老</t>
  </si>
  <si>
    <t>サーモン刺身</t>
  </si>
  <si>
    <t>サーモン</t>
  </si>
  <si>
    <t>まぐろ刺身</t>
  </si>
  <si>
    <t>まぐろ</t>
  </si>
  <si>
    <t>お刺身五点盛り</t>
  </si>
  <si>
    <t>サーモン・まぐろ・ほたて・タラバ刺し・ボタン海老</t>
  </si>
  <si>
    <t>鮭・かに・えび</t>
  </si>
  <si>
    <t>ほたての刺身</t>
  </si>
  <si>
    <t>ホタテ</t>
  </si>
  <si>
    <t>ぼたん海老刺</t>
  </si>
  <si>
    <t>ボタン海老</t>
  </si>
  <si>
    <t>蟹のお刺身盛合せ</t>
  </si>
  <si>
    <t>タラバガニ・ズワイガニ</t>
  </si>
  <si>
    <t>タラバ蟹のお刺身</t>
  </si>
  <si>
    <t>たらばがに</t>
  </si>
  <si>
    <t>ズワイガニのお刺身</t>
  </si>
  <si>
    <t>うにのお刺身</t>
  </si>
  <si>
    <t>甘エビのお刺身</t>
  </si>
  <si>
    <t>甘エビ</t>
  </si>
  <si>
    <t>焼き物</t>
  </si>
  <si>
    <t>焼きタラバ蟹</t>
  </si>
  <si>
    <t>タラバガニ</t>
  </si>
  <si>
    <t>焼き蟹</t>
  </si>
  <si>
    <t>オオズワイガニ</t>
  </si>
  <si>
    <t>特大タラバステーキ</t>
  </si>
  <si>
    <t>たらば蟹</t>
  </si>
  <si>
    <t>蒸し牡蠣（1個）</t>
  </si>
  <si>
    <t>カキ</t>
  </si>
  <si>
    <t>蒸し牡蠣（3個）</t>
  </si>
  <si>
    <t>カニグラタン</t>
  </si>
  <si>
    <t>かに・チーズ</t>
  </si>
  <si>
    <t>かにみそ甲羅焼き</t>
  </si>
  <si>
    <t>ほたてバター醤油焼き</t>
  </si>
  <si>
    <t>焼き縞ホッケ</t>
  </si>
  <si>
    <t>鰻蒲焼</t>
  </si>
  <si>
    <t>鰻白焼き</t>
  </si>
  <si>
    <t>揚げ物</t>
  </si>
  <si>
    <t>ズワイガニの天ぷら</t>
  </si>
  <si>
    <t>ずわいがに・ししとう</t>
  </si>
  <si>
    <t>たらばがにの天ぷら</t>
  </si>
  <si>
    <t>タラバガニ・ししとう</t>
  </si>
  <si>
    <t>えびの天ぷら　3本</t>
  </si>
  <si>
    <t>えび・ししとう</t>
  </si>
  <si>
    <t>蟹クリームコロッケ</t>
  </si>
  <si>
    <t>かに・小麦粉・牛乳・バター</t>
  </si>
  <si>
    <t>蟹クリームコロッケ（二個セット）</t>
  </si>
  <si>
    <t>いかめしコロッケ　2個セット</t>
  </si>
  <si>
    <t>いか・</t>
  </si>
  <si>
    <t>かにチップス</t>
  </si>
  <si>
    <t>ヒラツメガニ</t>
  </si>
  <si>
    <t>生中ジョッキセット</t>
  </si>
  <si>
    <t>ドリンク</t>
  </si>
  <si>
    <t>生ビール　サッポロクラシック</t>
  </si>
  <si>
    <t>アルコール・小麦</t>
  </si>
  <si>
    <t>中瓶　サッポロクラシック</t>
  </si>
  <si>
    <t>角ハイボール</t>
  </si>
  <si>
    <t>アルコール</t>
  </si>
  <si>
    <t>サワー</t>
  </si>
  <si>
    <t>レモンサワー</t>
  </si>
  <si>
    <t>国稀酒造　北海鬼ころし</t>
  </si>
  <si>
    <t>大雪乃蔵　絹雪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</si>
</sst>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¥#,##0"/>
  </numFmts>
  <fonts count="10">
    <font>
      <sz val="11.0"/>
      <color rgb="FF000000"/>
      <name val="Carlito"/>
      <scheme val="minor"/>
    </font>
    <font>
      <b/>
      <sz val="15.0"/>
      <color rgb="FF3B2A24"/>
      <name val="Aptos"/>
    </font>
    <font>
      <b/>
      <sz val="15.0"/>
      <color rgb="FF3B2A24"/>
      <name val="Arial"/>
    </font>
    <font>
      <i/>
      <sz val="10.0"/>
      <color rgb="FF6B5A52"/>
      <name val="Aptos"/>
    </font>
    <font>
      <b/>
      <sz val="10.0"/>
      <color rgb="FF302A27"/>
      <name val="Aptos"/>
    </font>
    <font>
      <sz val="10.0"/>
      <color rgb="FF302A27"/>
      <name val="Aptos"/>
    </font>
    <font>
      <b/>
      <sz val="10.0"/>
      <color rgb="FFFFFFFF"/>
      <name val="Aptos"/>
    </font>
    <font>
      <b/>
      <sz val="10.0"/>
      <color rgb="FF302A27"/>
      <name val="Arial"/>
    </font>
    <font>
      <b/>
      <color theme="1"/>
      <name val="Carlito"/>
      <scheme val="minor"/>
    </font>
    <font>
      <sz val="10.0"/>
      <color rgb="FF302A27"/>
      <name val="Arial"/>
    </font>
  </fonts>
  <fills count="7">
    <fill>
      <patternFill patternType="none"/>
    </fill>
    <fill>
      <patternFill patternType="lightGray"/>
    </fill>
    <fill>
      <patternFill patternType="solid">
        <fgColor rgb="FF59382E"/>
        <bgColor rgb="FF59382E"/>
      </patternFill>
    </fill>
    <fill>
      <patternFill patternType="solid">
        <fgColor rgb="FFFFF3CD"/>
        <bgColor rgb="FFFFF3CD"/>
      </patternFill>
    </fill>
    <fill>
      <patternFill patternType="solid">
        <fgColor rgb="FFFAF8F6"/>
        <bgColor rgb="FFFAF8F6"/>
      </patternFill>
    </fill>
    <fill>
      <patternFill patternType="solid">
        <fgColor rgb="FFD6A663"/>
        <bgColor rgb="FFD6A663"/>
      </patternFill>
    </fill>
    <fill>
      <patternFill patternType="solid">
        <fgColor rgb="FFEEF4F8"/>
        <bgColor rgb="FFEEF4F8"/>
      </patternFill>
    </fill>
  </fills>
  <borders count="6">
    <border/>
    <border>
      <bottom style="thin">
        <color rgb="FFE5DDD9"/>
      </bottom>
    </border>
    <border>
      <top style="thin">
        <color rgb="FFE5DDD9"/>
      </top>
      <bottom style="thin">
        <color rgb="FFE5DDD9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bottom style="thin">
        <color rgb="FF000000"/>
      </bottom>
    </border>
    <border>
      <top style="thin">
        <color rgb="FFE5DDD9"/>
      </top>
      <bottom style="thin">
        <color rgb="FFD1C5BF"/>
      </bottom>
    </border>
  </borders>
  <cellStyleXfs count="1">
    <xf borderId="0" fillId="0" fontId="0" numFmtId="0" applyAlignment="1" applyFont="1"/>
  </cellStyleXfs>
  <cellXfs count="4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readingOrder="0"/>
    </xf>
    <xf borderId="0" fillId="0" fontId="3" numFmtId="0" xfId="0" applyFont="1"/>
    <xf borderId="1" fillId="2" fontId="4" numFmtId="0" xfId="0" applyAlignment="1" applyBorder="1" applyFill="1" applyFont="1">
      <alignment horizontal="center" shrinkToFit="0" vertical="center" wrapText="1"/>
    </xf>
    <xf borderId="2" fillId="3" fontId="5" numFmtId="0" xfId="0" applyAlignment="1" applyBorder="1" applyFill="1" applyFont="1">
      <alignment shrinkToFit="0" vertical="center" wrapText="1"/>
    </xf>
    <xf borderId="0" fillId="2" fontId="6" numFmtId="0" xfId="0" applyAlignment="1" applyFill="1" applyFont="1">
      <alignment horizontal="center" shrinkToFit="0" vertical="center" wrapText="1"/>
    </xf>
    <xf borderId="2" fillId="4" fontId="5" numFmtId="0" xfId="0" applyAlignment="1" applyBorder="1" applyFill="1" applyFont="1">
      <alignment shrinkToFit="0" vertical="center" wrapText="1"/>
    </xf>
    <xf borderId="3" fillId="2" fontId="6" numFmtId="0" xfId="0" applyAlignment="1" applyBorder="1" applyFill="1" applyFont="1">
      <alignment horizontal="center" shrinkToFit="0" vertical="center" wrapText="1"/>
    </xf>
    <xf borderId="2" fillId="0" fontId="5" numFmtId="0" xfId="0" applyAlignment="1" applyBorder="1" applyFont="1">
      <alignment shrinkToFit="0" vertical="center" wrapText="1"/>
    </xf>
    <xf borderId="2" fillId="5" fontId="4" numFmtId="0" xfId="0" applyAlignment="1" applyBorder="1" applyFill="1" applyFont="1">
      <alignment shrinkToFit="0" vertical="center" wrapText="1"/>
    </xf>
    <xf borderId="2" fillId="3" fontId="4" numFmtId="9" xfId="0" applyAlignment="1" applyBorder="1" applyFill="1" applyFont="1" applyNumberFormat="1">
      <alignment horizontal="center" shrinkToFit="0" vertical="center" wrapText="1"/>
    </xf>
    <xf borderId="4" fillId="3" fontId="7" numFmtId="0" xfId="0" applyAlignment="1" applyBorder="1" applyFill="1" applyFont="1">
      <alignment readingOrder="0" shrinkToFit="0" vertical="center" wrapText="1"/>
    </xf>
    <xf borderId="5" fillId="0" fontId="5" numFmtId="0" xfId="0" applyAlignment="1" applyBorder="1" applyFont="1">
      <alignment shrinkToFit="0" vertical="center" wrapText="1"/>
    </xf>
    <xf borderId="4" fillId="3" fontId="7" numFmtId="0" xfId="0" applyAlignment="1" applyBorder="1" applyFill="1" applyFont="1">
      <alignment horizontal="center" readingOrder="0" shrinkToFit="0" vertical="center" wrapText="1"/>
    </xf>
    <xf borderId="4" fillId="6" fontId="4" numFmtId="0" xfId="0" applyAlignment="1" applyBorder="1" applyFill="1" applyFont="1">
      <alignment shrinkToFit="0" vertical="center" wrapText="1"/>
    </xf>
    <xf borderId="4" fillId="3" fontId="7" numFmtId="164" xfId="0" applyAlignment="1" applyBorder="1" applyFill="1" applyFont="1" applyNumberFormat="1">
      <alignment horizontal="right" readingOrder="0" shrinkToFit="0" vertical="center" wrapText="1"/>
    </xf>
    <xf borderId="4" fillId="6" fontId="4" numFmtId="164" xfId="0" applyAlignment="1" applyBorder="1" applyFill="1" applyFont="1" applyNumberFormat="1">
      <alignment horizontal="right" shrinkToFit="0" vertical="center" wrapText="1"/>
    </xf>
    <xf borderId="4" fillId="3" fontId="4" numFmtId="0" xfId="0" applyAlignment="1" applyBorder="1" applyFill="1" applyFont="1">
      <alignment shrinkToFit="0" vertical="center" wrapText="1"/>
    </xf>
    <xf borderId="4" fillId="0" fontId="8" numFmtId="0" xfId="0" applyBorder="1" applyFont="1"/>
    <xf borderId="0" fillId="3" fontId="5" numFmtId="0" xfId="0" applyAlignment="1" applyFill="1" applyFont="1">
      <alignment shrinkToFit="0" vertical="center" wrapText="1"/>
    </xf>
    <xf borderId="1" fillId="3" fontId="9" numFmtId="0" xfId="0" applyAlignment="1" applyBorder="1" applyFill="1" applyFont="1">
      <alignment readingOrder="0" shrinkToFit="0" vertical="center" wrapText="1"/>
    </xf>
    <xf borderId="1" fillId="3" fontId="9" numFmtId="0" xfId="0" applyAlignment="1" applyBorder="1" applyFill="1" applyFont="1">
      <alignment horizontal="center" readingOrder="0" shrinkToFit="0" vertical="center" wrapText="1"/>
    </xf>
    <xf borderId="1" fillId="6" fontId="5" numFmtId="0" xfId="0" applyAlignment="1" applyBorder="1" applyFill="1" applyFont="1">
      <alignment shrinkToFit="0" vertical="center" wrapText="1"/>
    </xf>
    <xf borderId="1" fillId="3" fontId="5" numFmtId="164" xfId="0" applyAlignment="1" applyBorder="1" applyFill="1" applyFont="1" applyNumberFormat="1">
      <alignment horizontal="right" shrinkToFit="0" vertical="center" wrapText="1"/>
    </xf>
    <xf borderId="1" fillId="6" fontId="9" numFmtId="164" xfId="0" applyAlignment="1" applyBorder="1" applyFill="1" applyFont="1" applyNumberFormat="1">
      <alignment horizontal="right" readingOrder="0" shrinkToFit="0" vertical="center" wrapText="1"/>
    </xf>
    <xf borderId="1" fillId="3" fontId="5" numFmtId="0" xfId="0" applyAlignment="1" applyBorder="1" applyFill="1" applyFont="1">
      <alignment shrinkToFit="0" vertical="center" wrapText="1"/>
    </xf>
    <xf borderId="2" fillId="3" fontId="9" numFmtId="0" xfId="0" applyAlignment="1" applyBorder="1" applyFill="1" applyFont="1">
      <alignment horizontal="center" readingOrder="0" shrinkToFit="0" vertical="center" wrapText="1"/>
    </xf>
    <xf borderId="2" fillId="3" fontId="9" numFmtId="0" xfId="0" applyAlignment="1" applyBorder="1" applyFill="1" applyFont="1">
      <alignment readingOrder="0" shrinkToFit="0" vertical="center" wrapText="1"/>
    </xf>
    <xf borderId="2" fillId="6" fontId="5" numFmtId="0" xfId="0" applyAlignment="1" applyBorder="1" applyFill="1" applyFont="1">
      <alignment shrinkToFit="0" vertical="center" wrapText="1"/>
    </xf>
    <xf borderId="2" fillId="3" fontId="5" numFmtId="164" xfId="0" applyAlignment="1" applyBorder="1" applyFill="1" applyFont="1" applyNumberFormat="1">
      <alignment horizontal="right" shrinkToFit="0" vertical="center" wrapText="1"/>
    </xf>
    <xf borderId="2" fillId="6" fontId="9" numFmtId="164" xfId="0" applyAlignment="1" applyBorder="1" applyFill="1" applyFont="1" applyNumberFormat="1">
      <alignment horizontal="right" readingOrder="0" shrinkToFit="0" vertical="center" wrapText="1"/>
    </xf>
    <xf borderId="2" fillId="3" fontId="5" numFmtId="0" xfId="0" applyAlignment="1" applyBorder="1" applyFill="1" applyFont="1">
      <alignment horizontal="center" shrinkToFit="0" vertical="center" wrapText="1"/>
    </xf>
    <xf borderId="2" fillId="3" fontId="9" numFmtId="164" xfId="0" applyAlignment="1" applyBorder="1" applyFill="1" applyFont="1" applyNumberFormat="1">
      <alignment horizontal="right" readingOrder="0" shrinkToFit="0" vertical="center" wrapText="1"/>
    </xf>
    <xf borderId="5" fillId="3" fontId="5" numFmtId="0" xfId="0" applyAlignment="1" applyBorder="1" applyFill="1" applyFont="1">
      <alignment horizontal="center" shrinkToFit="0" vertical="center" wrapText="1"/>
    </xf>
    <xf borderId="5" fillId="3" fontId="9" numFmtId="0" xfId="0" applyAlignment="1" applyBorder="1" applyFill="1" applyFont="1">
      <alignment readingOrder="0" shrinkToFit="0" vertical="center" wrapText="1"/>
    </xf>
    <xf borderId="5" fillId="6" fontId="5" numFmtId="0" xfId="0" applyAlignment="1" applyBorder="1" applyFill="1" applyFont="1">
      <alignment shrinkToFit="0" vertical="center" wrapText="1"/>
    </xf>
    <xf borderId="5" fillId="3" fontId="5" numFmtId="0" xfId="0" applyAlignment="1" applyBorder="1" applyFill="1" applyFont="1">
      <alignment shrinkToFit="0" vertical="center" wrapText="1"/>
    </xf>
    <xf borderId="5" fillId="3" fontId="5" numFmtId="164" xfId="0" applyAlignment="1" applyBorder="1" applyFill="1" applyFont="1" applyNumberFormat="1">
      <alignment horizontal="right" shrinkToFit="0" vertical="center" wrapText="1"/>
    </xf>
    <xf borderId="5" fillId="6" fontId="9" numFmtId="164" xfId="0" applyAlignment="1" applyBorder="1" applyFill="1" applyFont="1" applyNumberFormat="1">
      <alignment horizontal="right" readingOrder="0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8A3B2A"/>
    <pageSetUpPr/>
  </sheetPr>
  <sheetViews>
    <sheetView showGridLines="0" workbookViewId="0">
      <pane xSplit="3.0" ySplit="6.0" topLeftCell="D7" activePane="bottomRight" state="frozen"/>
      <selection activeCell="D1" sqref="D1" pane="topRight"/>
      <selection activeCell="A7" sqref="A7" pane="bottomLeft"/>
      <selection activeCell="D7" sqref="D7" pane="bottomRight"/>
    </sheetView>
  </sheetViews>
  <sheetFormatPr customHeight="1" defaultColWidth="12.63" defaultRowHeight="15.0"/>
  <cols>
    <col customWidth="1" min="1" max="1" width="8.0"/>
    <col customWidth="1" min="2" max="2" width="18.0"/>
    <col customWidth="1" min="3" max="3" width="12.0"/>
    <col customWidth="1" min="4" max="4" width="22.0"/>
    <col customWidth="1" min="5" max="5" width="24.0"/>
    <col customWidth="1" min="6" max="6" width="22.0"/>
    <col customWidth="1" min="7" max="7" width="28.0"/>
    <col customWidth="1" min="8" max="8" width="30.0"/>
    <col customWidth="1" min="9" max="9" width="28.0"/>
    <col customWidth="1" min="10" max="11" width="16.0"/>
    <col customWidth="1" min="12" max="12" width="25.0"/>
    <col customWidth="1" min="13" max="13" width="28.0"/>
    <col customWidth="1" min="14" max="14" width="26.0"/>
    <col customWidth="1" min="15" max="15" width="24.0"/>
    <col customWidth="1" min="16" max="27" width="8.63"/>
  </cols>
  <sheetData>
    <row r="2">
      <c r="A2" s="1"/>
      <c r="B2" s="2" t="s">
        <v>1</v>
      </c>
    </row>
    <row r="3">
      <c r="A3" s="3"/>
      <c r="B3" s="3" t="s">
        <v>3</v>
      </c>
      <c r="C3" s="3"/>
      <c r="D3" s="3"/>
      <c r="E3" s="3"/>
      <c r="F3" s="3"/>
      <c r="G3" s="3"/>
      <c r="H3" s="3"/>
      <c r="I3" s="3"/>
      <c r="J3" s="3"/>
      <c r="K3" s="3"/>
      <c r="L3" s="3"/>
    </row>
    <row r="6" ht="42.0" customHeight="1">
      <c r="A6" s="6"/>
      <c r="B6" s="8" t="s">
        <v>7</v>
      </c>
      <c r="C6" s="8" t="s">
        <v>12</v>
      </c>
      <c r="D6" s="8" t="s">
        <v>13</v>
      </c>
      <c r="E6" s="8" t="s">
        <v>14</v>
      </c>
      <c r="F6" s="8" t="s">
        <v>15</v>
      </c>
      <c r="G6" s="8" t="s">
        <v>16</v>
      </c>
      <c r="H6" s="8" t="s">
        <v>17</v>
      </c>
      <c r="I6" s="8" t="s">
        <v>18</v>
      </c>
      <c r="J6" s="8" t="s">
        <v>20</v>
      </c>
      <c r="K6" s="8" t="s">
        <v>21</v>
      </c>
      <c r="L6" s="8" t="s">
        <v>22</v>
      </c>
      <c r="M6" s="8" t="s">
        <v>23</v>
      </c>
      <c r="N6" s="8" t="s">
        <v>24</v>
      </c>
      <c r="O6" s="8" t="s">
        <v>25</v>
      </c>
    </row>
    <row r="7" ht="33.75" customHeight="1">
      <c r="A7" s="12" t="s">
        <v>27</v>
      </c>
      <c r="B7" s="12" t="s">
        <v>29</v>
      </c>
      <c r="C7" s="14">
        <v>1.0</v>
      </c>
      <c r="D7" s="12" t="s">
        <v>32</v>
      </c>
      <c r="E7" s="15" t="str">
        <f>IFERROR(__xludf.DUMMYFUNCTION("IF(D7="""","""",GOOGLETRANSLATE(D7,""ja"",""en""))"),"Seafood rice bowl")</f>
        <v>Seafood rice bowl</v>
      </c>
      <c r="F7" s="15" t="str">
        <f>IFERROR(__xludf.DUMMYFUNCTION("IF(D7="""","""",GOOGLETRANSLATE(D7,""ja"",""ko""))"),"해물 덮밥")</f>
        <v>해물 덮밥</v>
      </c>
      <c r="G7" s="12" t="s">
        <v>33</v>
      </c>
      <c r="H7" s="15" t="str">
        <f>IFERROR(__xludf.DUMMYFUNCTION("IF(G7="""","""",GOOGLETRANSLATE(G7,""ja"",""en""))"),"Crab, shrimp, scallops, salmon, salmon roe")</f>
        <v>Crab, shrimp, scallops, salmon, salmon roe</v>
      </c>
      <c r="I7" s="15" t="str">
        <f>IFERROR(__xludf.DUMMYFUNCTION("IF(G7="""","""",GOOGLETRANSLATE(G7,""ja"",""ko""))"),"게, 새우, 호타테, 연어, 얼마")</f>
        <v>게, 새우, 호타테, 연어, 얼마</v>
      </c>
      <c r="J7" s="16">
        <v>1980.0</v>
      </c>
      <c r="K7" s="17">
        <f>IF(J7="","",ROUND(J7*(1+'ご利用方法・設定'!$B$9),0))</f>
        <v>2178</v>
      </c>
      <c r="L7" s="12" t="s">
        <v>34</v>
      </c>
      <c r="M7" s="15" t="str">
        <f>IFERROR(__xludf.DUMMYFUNCTION("IF(L7="""","""",GOOGLETRANSLATE(L7,""ja"",""en""))"),"crab, shrimp")</f>
        <v>crab, shrimp</v>
      </c>
      <c r="N7" s="15" t="str">
        <f>IFERROR(__xludf.DUMMYFUNCTION("IF(L7="""","""",GOOGLETRANSLATE(L7,""ja"",""ko""))"),"게, 새우")</f>
        <v>게, 새우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</row>
    <row r="8" ht="33.75" customHeight="1">
      <c r="A8" s="20"/>
      <c r="B8" s="21" t="s">
        <v>32</v>
      </c>
      <c r="C8" s="22">
        <v>1.0</v>
      </c>
      <c r="D8" s="21" t="s">
        <v>35</v>
      </c>
      <c r="E8" s="23" t="str">
        <f>IFERROR(__xludf.DUMMYFUNCTION("IF(D8="""","""",GOOGLETRANSLATE(D8,""ja"",""en""))"),"Crab rice bowl")</f>
        <v>Crab rice bowl</v>
      </c>
      <c r="F8" s="23" t="str">
        <f>IFERROR(__xludf.DUMMYFUNCTION("IF(D8="""","""",GOOGLETRANSLATE(D8,""ja"",""ko""))"),"게 덮밥")</f>
        <v>게 덮밥</v>
      </c>
      <c r="G8" s="21" t="s">
        <v>36</v>
      </c>
      <c r="H8" s="23" t="str">
        <f>IFERROR(__xludf.DUMMYFUNCTION("IF(G8="""","""",GOOGLETRANSLATE(G8,""ja"",""en""))"),"crab")</f>
        <v>crab</v>
      </c>
      <c r="I8" s="23" t="str">
        <f>IFERROR(__xludf.DUMMYFUNCTION("IF(G8="""","""",GOOGLETRANSLATE(G8,""ja"",""ko""))"),"게")</f>
        <v>게</v>
      </c>
      <c r="J8" s="24"/>
      <c r="K8" s="25">
        <v>2500.0</v>
      </c>
      <c r="L8" s="21" t="s">
        <v>36</v>
      </c>
      <c r="M8" s="23" t="str">
        <f>IFERROR(__xludf.DUMMYFUNCTION("IF(L8="""","""",GOOGLETRANSLATE(L8,""ja"",""en""))"),"crab")</f>
        <v>crab</v>
      </c>
      <c r="N8" s="23" t="str">
        <f>IFERROR(__xludf.DUMMYFUNCTION("IF(L8="""","""",GOOGLETRANSLATE(L8,""ja"",""ko""))"),"게")</f>
        <v>게</v>
      </c>
      <c r="O8" s="26"/>
    </row>
    <row r="9" ht="33.75" customHeight="1">
      <c r="A9" s="20"/>
      <c r="B9" s="21" t="s">
        <v>32</v>
      </c>
      <c r="C9" s="27" t="s">
        <v>37</v>
      </c>
      <c r="D9" s="28" t="s">
        <v>38</v>
      </c>
      <c r="E9" s="29" t="str">
        <f>IFERROR(__xludf.DUMMYFUNCTION("IF(D9="""","""",GOOGLETRANSLATE(D9,""ja"",""en""))"),"Crab Cannery Ship Donburi")</f>
        <v>Crab Cannery Ship Donburi</v>
      </c>
      <c r="F9" s="29" t="str">
        <f>IFERROR(__xludf.DUMMYFUNCTION("IF(D9="""","""",GOOGLETRANSLATE(D9,""ja"",""ko""))"),"게공선 덮밥")</f>
        <v>게공선 덮밥</v>
      </c>
      <c r="G9" s="28" t="s">
        <v>36</v>
      </c>
      <c r="H9" s="29" t="str">
        <f>IFERROR(__xludf.DUMMYFUNCTION("IF(G9="""","""",GOOGLETRANSLATE(G9,""ja"",""en""))"),"crab")</f>
        <v>crab</v>
      </c>
      <c r="I9" s="29" t="str">
        <f>IFERROR(__xludf.DUMMYFUNCTION("IF(G9="""","""",GOOGLETRANSLATE(G9,""ja"",""ko""))"),"게")</f>
        <v>게</v>
      </c>
      <c r="J9" s="30"/>
      <c r="K9" s="31">
        <v>3900.0</v>
      </c>
      <c r="L9" s="28" t="s">
        <v>36</v>
      </c>
      <c r="M9" s="29" t="str">
        <f>IFERROR(__xludf.DUMMYFUNCTION("IF(L9="""","""",GOOGLETRANSLATE(L9,""ja"",""en""))"),"crab")</f>
        <v>crab</v>
      </c>
      <c r="N9" s="29" t="str">
        <f>IFERROR(__xludf.DUMMYFUNCTION("IF(L9="""","""",GOOGLETRANSLATE(L9,""ja"",""ko""))"),"게")</f>
        <v>게</v>
      </c>
      <c r="O9" s="5"/>
    </row>
    <row r="10" ht="33.75" customHeight="1">
      <c r="A10" s="20"/>
      <c r="B10" s="21" t="s">
        <v>32</v>
      </c>
      <c r="C10" s="27" t="s">
        <v>39</v>
      </c>
      <c r="D10" s="28" t="s">
        <v>40</v>
      </c>
      <c r="E10" s="29" t="str">
        <f>IFERROR(__xludf.DUMMYFUNCTION("IF(D10="""","""",GOOGLETRANSLATE(D10,""ja"",""en""))"),"Crab and salmon roe rice bowl")</f>
        <v>Crab and salmon roe rice bowl</v>
      </c>
      <c r="F10" s="29" t="str">
        <f>IFERROR(__xludf.DUMMYFUNCTION("IF(D10="""","""",GOOGLETRANSLATE(D10,""ja"",""ko""))"),"게 · 아무리 덮밥")</f>
        <v>게 · 아무리 덮밥</v>
      </c>
      <c r="G10" s="28" t="s">
        <v>41</v>
      </c>
      <c r="H10" s="29" t="str">
        <f>IFERROR(__xludf.DUMMYFUNCTION("IF(G10="""","""",GOOGLETRANSLATE(G10,""ja"",""en""))"),"Crab and salmon roe")</f>
        <v>Crab and salmon roe</v>
      </c>
      <c r="I10" s="29" t="str">
        <f>IFERROR(__xludf.DUMMYFUNCTION("IF(G10="""","""",GOOGLETRANSLATE(G10,""ja"",""ko""))"),"게 · 얼마")</f>
        <v>게 · 얼마</v>
      </c>
      <c r="J10" s="30"/>
      <c r="K10" s="31">
        <v>3000.0</v>
      </c>
      <c r="L10" s="28" t="s">
        <v>41</v>
      </c>
      <c r="M10" s="29" t="str">
        <f>IFERROR(__xludf.DUMMYFUNCTION("IF(L10="""","""",GOOGLETRANSLATE(L10,""ja"",""en""))"),"Crab and salmon roe")</f>
        <v>Crab and salmon roe</v>
      </c>
      <c r="N10" s="29" t="str">
        <f>IFERROR(__xludf.DUMMYFUNCTION("IF(L10="""","""",GOOGLETRANSLATE(L10,""ja"",""ko""))"),"게 · 얼마")</f>
        <v>게 · 얼마</v>
      </c>
      <c r="O10" s="5"/>
    </row>
    <row r="11" ht="33.75" customHeight="1">
      <c r="A11" s="20"/>
      <c r="B11" s="21" t="s">
        <v>32</v>
      </c>
      <c r="C11" s="27" t="s">
        <v>42</v>
      </c>
      <c r="D11" s="28" t="s">
        <v>43</v>
      </c>
      <c r="E11" s="29" t="str">
        <f>IFERROR(__xludf.DUMMYFUNCTION("IF(D11="""","""",GOOGLETRANSLATE(D11,""ja"",""en""))"),"Crab and sea urchin rice bowl")</f>
        <v>Crab and sea urchin rice bowl</v>
      </c>
      <c r="F11" s="29" t="str">
        <f>IFERROR(__xludf.DUMMYFUNCTION("IF(D11="""","""",GOOGLETRANSLATE(D11,""ja"",""ko""))"),"게 · 우니 덮밥")</f>
        <v>게 · 우니 덮밥</v>
      </c>
      <c r="G11" s="28" t="s">
        <v>44</v>
      </c>
      <c r="H11" s="29" t="str">
        <f>IFERROR(__xludf.DUMMYFUNCTION("IF(G11="""","""",GOOGLETRANSLATE(G11,""ja"",""en""))"),"Crab and sea urchin")</f>
        <v>Crab and sea urchin</v>
      </c>
      <c r="I11" s="29" t="str">
        <f>IFERROR(__xludf.DUMMYFUNCTION("IF(G11="""","""",GOOGLETRANSLATE(G11,""ja"",""ko""))"),"게 · 우니")</f>
        <v>게 · 우니</v>
      </c>
      <c r="J11" s="30"/>
      <c r="K11" s="31">
        <v>4400.0</v>
      </c>
      <c r="L11" s="28" t="s">
        <v>36</v>
      </c>
      <c r="M11" s="29" t="str">
        <f>IFERROR(__xludf.DUMMYFUNCTION("IF(L11="""","""",GOOGLETRANSLATE(L11,""ja"",""en""))"),"crab")</f>
        <v>crab</v>
      </c>
      <c r="N11" s="29" t="str">
        <f>IFERROR(__xludf.DUMMYFUNCTION("IF(L11="""","""",GOOGLETRANSLATE(L11,""ja"",""ko""))"),"게")</f>
        <v>게</v>
      </c>
      <c r="O11" s="5"/>
    </row>
    <row r="12" ht="33.75" customHeight="1">
      <c r="A12" s="20"/>
      <c r="B12" s="21" t="s">
        <v>32</v>
      </c>
      <c r="C12" s="27" t="s">
        <v>45</v>
      </c>
      <c r="D12" s="28" t="s">
        <v>46</v>
      </c>
      <c r="E12" s="29" t="str">
        <f>IFERROR(__xludf.DUMMYFUNCTION("IF(D12="""","""",GOOGLETRANSLATE(D12,""ja"",""en""))"),"Crab, sea urchin, and salmon roe rice bowl")</f>
        <v>Crab, sea urchin, and salmon roe rice bowl</v>
      </c>
      <c r="F12" s="29" t="str">
        <f>IFERROR(__xludf.DUMMYFUNCTION("IF(D12="""","""",GOOGLETRANSLATE(D12,""ja"",""ko""))"),"게 · 우니 · 아무리 덮밥")</f>
        <v>게 · 우니 · 아무리 덮밥</v>
      </c>
      <c r="G12" s="28" t="s">
        <v>47</v>
      </c>
      <c r="H12" s="29" t="str">
        <f>IFERROR(__xludf.DUMMYFUNCTION("IF(G12="""","""",GOOGLETRANSLATE(G12,""ja"",""en""))"),"Crab, sea urchin, salmon roe")</f>
        <v>Crab, sea urchin, salmon roe</v>
      </c>
      <c r="I12" s="29" t="str">
        <f>IFERROR(__xludf.DUMMYFUNCTION("IF(G12="""","""",GOOGLETRANSLATE(G12,""ja"",""ko""))"),"게 · 우니 · 아무리")</f>
        <v>게 · 우니 · 아무리</v>
      </c>
      <c r="J12" s="30"/>
      <c r="K12" s="31">
        <v>4500.0</v>
      </c>
      <c r="L12" s="28" t="s">
        <v>41</v>
      </c>
      <c r="M12" s="29" t="str">
        <f>IFERROR(__xludf.DUMMYFUNCTION("IF(L12="""","""",GOOGLETRANSLATE(L12,""ja"",""en""))"),"Crab and salmon roe")</f>
        <v>Crab and salmon roe</v>
      </c>
      <c r="N12" s="29" t="str">
        <f>IFERROR(__xludf.DUMMYFUNCTION("IF(L12="""","""",GOOGLETRANSLATE(L12,""ja"",""ko""))"),"게 · 얼마")</f>
        <v>게 · 얼마</v>
      </c>
      <c r="O12" s="5"/>
    </row>
    <row r="13" ht="33.75" customHeight="1">
      <c r="A13" s="20"/>
      <c r="B13" s="21" t="s">
        <v>32</v>
      </c>
      <c r="C13" s="27" t="s">
        <v>48</v>
      </c>
      <c r="D13" s="28" t="s">
        <v>49</v>
      </c>
      <c r="E13" s="29" t="str">
        <f>IFERROR(__xludf.DUMMYFUNCTION("IF(D13="""","""",GOOGLETRANSLATE(D13,""ja"",""en""))"),"Sea urchin and salmon roe rice bowl")</f>
        <v>Sea urchin and salmon roe rice bowl</v>
      </c>
      <c r="F13" s="29" t="str">
        <f>IFERROR(__xludf.DUMMYFUNCTION("IF(D13="""","""",GOOGLETRANSLATE(D13,""ja"",""ko""))"),"우니 · 아키라 덮밥")</f>
        <v>우니 · 아키라 덮밥</v>
      </c>
      <c r="G13" s="28" t="s">
        <v>50</v>
      </c>
      <c r="H13" s="29" t="str">
        <f>IFERROR(__xludf.DUMMYFUNCTION("IF(G13="""","""",GOOGLETRANSLATE(G13,""ja"",""en""))"),"Sea urchin and salmon roe")</f>
        <v>Sea urchin and salmon roe</v>
      </c>
      <c r="I13" s="29" t="str">
        <f>IFERROR(__xludf.DUMMYFUNCTION("IF(G13="""","""",GOOGLETRANSLATE(G13,""ja"",""ko""))"),"우니 · 얼마")</f>
        <v>우니 · 얼마</v>
      </c>
      <c r="J13" s="30"/>
      <c r="K13" s="31">
        <v>5000.0</v>
      </c>
      <c r="L13" s="28" t="s">
        <v>51</v>
      </c>
      <c r="M13" s="29" t="str">
        <f>IFERROR(__xludf.DUMMYFUNCTION("IF(L13="""","""",GOOGLETRANSLATE(L13,""ja"",""en""))"),"how much")</f>
        <v>how much</v>
      </c>
      <c r="N13" s="29" t="str">
        <f>IFERROR(__xludf.DUMMYFUNCTION("IF(L13="""","""",GOOGLETRANSLATE(L13,""ja"",""ko""))"),"아무리")</f>
        <v>아무리</v>
      </c>
      <c r="O13" s="5"/>
    </row>
    <row r="14" ht="33.75" customHeight="1">
      <c r="A14" s="20"/>
      <c r="B14" s="21" t="s">
        <v>32</v>
      </c>
      <c r="C14" s="27" t="s">
        <v>52</v>
      </c>
      <c r="D14" s="28" t="s">
        <v>53</v>
      </c>
      <c r="E14" s="29" t="str">
        <f>IFERROR(__xludf.DUMMYFUNCTION("IF(D14="""","""",GOOGLETRANSLATE(D14,""ja"",""en""))"),"Ikura Donburi (rice bowl with salmon roe)")</f>
        <v>Ikura Donburi (rice bowl with salmon roe)</v>
      </c>
      <c r="F14" s="29" t="str">
        <f>IFERROR(__xludf.DUMMYFUNCTION("IF(D14="""","""",GOOGLETRANSLATE(D14,""ja"",""ko""))"),"아무리 덮밥")</f>
        <v>아무리 덮밥</v>
      </c>
      <c r="G14" s="28" t="s">
        <v>51</v>
      </c>
      <c r="H14" s="29" t="str">
        <f>IFERROR(__xludf.DUMMYFUNCTION("IF(G14="""","""",GOOGLETRANSLATE(G14,""ja"",""en""))"),"how much")</f>
        <v>how much</v>
      </c>
      <c r="I14" s="29" t="str">
        <f>IFERROR(__xludf.DUMMYFUNCTION("IF(G14="""","""",GOOGLETRANSLATE(G14,""ja"",""ko""))"),"아무리")</f>
        <v>아무리</v>
      </c>
      <c r="J14" s="30"/>
      <c r="K14" s="31">
        <v>4500.0</v>
      </c>
      <c r="L14" s="28" t="s">
        <v>51</v>
      </c>
      <c r="M14" s="29" t="str">
        <f>IFERROR(__xludf.DUMMYFUNCTION("IF(L14="""","""",GOOGLETRANSLATE(L14,""ja"",""en""))"),"how much")</f>
        <v>how much</v>
      </c>
      <c r="N14" s="29" t="str">
        <f>IFERROR(__xludf.DUMMYFUNCTION("IF(L14="""","""",GOOGLETRANSLATE(L14,""ja"",""ko""))"),"아무리")</f>
        <v>아무리</v>
      </c>
      <c r="O14" s="5"/>
    </row>
    <row r="15" ht="33.75" customHeight="1">
      <c r="A15" s="20"/>
      <c r="B15" s="21" t="s">
        <v>32</v>
      </c>
      <c r="C15" s="27" t="s">
        <v>54</v>
      </c>
      <c r="D15" s="28" t="s">
        <v>55</v>
      </c>
      <c r="E15" s="29" t="str">
        <f>IFERROR(__xludf.DUMMYFUNCTION("IF(D15="""","""",GOOGLETRANSLATE(D15,""ja"",""en""))"),"Sea urchin rice bowl")</f>
        <v>Sea urchin rice bowl</v>
      </c>
      <c r="F15" s="29" t="str">
        <f>IFERROR(__xludf.DUMMYFUNCTION("IF(D15="""","""",GOOGLETRANSLATE(D15,""ja"",""ko""))"),"우니 덮밥")</f>
        <v>우니 덮밥</v>
      </c>
      <c r="G15" s="28" t="s">
        <v>56</v>
      </c>
      <c r="H15" s="29" t="str">
        <f>IFERROR(__xludf.DUMMYFUNCTION("IF(G15="""","""",GOOGLETRANSLATE(G15,""ja"",""en""))"),"sea ​​urchin")</f>
        <v>sea ​​urchin</v>
      </c>
      <c r="I15" s="29" t="str">
        <f>IFERROR(__xludf.DUMMYFUNCTION("IF(G15="""","""",GOOGLETRANSLATE(G15,""ja"",""ko""))"),"우니")</f>
        <v>우니</v>
      </c>
      <c r="J15" s="30"/>
      <c r="K15" s="31">
        <v>4800.0</v>
      </c>
      <c r="L15" s="5"/>
      <c r="M15" s="29" t="str">
        <f>IFERROR(__xludf.DUMMYFUNCTION("IF(L15="""","""",GOOGLETRANSLATE(L15,""ja"",""en""))"),"")</f>
        <v/>
      </c>
      <c r="N15" s="29" t="str">
        <f>IFERROR(__xludf.DUMMYFUNCTION("IF(L15="""","""",GOOGLETRANSLATE(L15,""ja"",""ko""))"),"")</f>
        <v/>
      </c>
      <c r="O15" s="5"/>
    </row>
    <row r="16" ht="33.75" customHeight="1">
      <c r="A16" s="20"/>
      <c r="B16" s="21" t="s">
        <v>32</v>
      </c>
      <c r="C16" s="27" t="s">
        <v>57</v>
      </c>
      <c r="D16" s="28" t="s">
        <v>58</v>
      </c>
      <c r="E16" s="29" t="str">
        <f>IFERROR(__xludf.DUMMYFUNCTION("IF(D16="""","""",GOOGLETRANSLATE(D16,""ja"",""en""))"),"Salmon and tuna rice bowl")</f>
        <v>Salmon and tuna rice bowl</v>
      </c>
      <c r="F16" s="29" t="str">
        <f>IFERROR(__xludf.DUMMYFUNCTION("IF(D16="""","""",GOOGLETRANSLATE(D16,""ja"",""ko""))"),"연어 참치 덮밥")</f>
        <v>연어 참치 덮밥</v>
      </c>
      <c r="G16" s="28" t="s">
        <v>59</v>
      </c>
      <c r="H16" s="29" t="str">
        <f>IFERROR(__xludf.DUMMYFUNCTION("IF(G16="""","""",GOOGLETRANSLATE(G16,""ja"",""en""))"),"Salmon and tuna")</f>
        <v>Salmon and tuna</v>
      </c>
      <c r="I16" s="29" t="str">
        <f>IFERROR(__xludf.DUMMYFUNCTION("IF(G16="""","""",GOOGLETRANSLATE(G16,""ja"",""ko""))"),"연어 참치")</f>
        <v>연어 참치</v>
      </c>
      <c r="J16" s="30"/>
      <c r="K16" s="31">
        <v>2500.0</v>
      </c>
      <c r="L16" s="28" t="s">
        <v>60</v>
      </c>
      <c r="M16" s="29" t="str">
        <f>IFERROR(__xludf.DUMMYFUNCTION("IF(L16="""","""",GOOGLETRANSLATE(L16,""ja"",""en""))"),"salmon")</f>
        <v>salmon</v>
      </c>
      <c r="N16" s="29" t="str">
        <f>IFERROR(__xludf.DUMMYFUNCTION("IF(L16="""","""",GOOGLETRANSLATE(L16,""ja"",""ko""))"),"연어")</f>
        <v>연어</v>
      </c>
      <c r="O16" s="5"/>
    </row>
    <row r="17" ht="33.75" customHeight="1">
      <c r="A17" s="20"/>
      <c r="B17" s="21" t="s">
        <v>32</v>
      </c>
      <c r="C17" s="27" t="s">
        <v>61</v>
      </c>
      <c r="D17" s="28" t="s">
        <v>62</v>
      </c>
      <c r="E17" s="29" t="str">
        <f>IFERROR(__xludf.DUMMYFUNCTION("IF(D17="""","""",GOOGLETRANSLATE(D17,""ja"",""en""))"),"Salmon and salmon roe rice bowl")</f>
        <v>Salmon and salmon roe rice bowl</v>
      </c>
      <c r="F17" s="29" t="str">
        <f>IFERROR(__xludf.DUMMYFUNCTION("IF(D17="""","""",GOOGLETRANSLATE(D17,""ja"",""ko""))"),"연어 · 아키라 덮밥")</f>
        <v>연어 · 아키라 덮밥</v>
      </c>
      <c r="G17" s="28" t="s">
        <v>63</v>
      </c>
      <c r="H17" s="29" t="str">
        <f>IFERROR(__xludf.DUMMYFUNCTION("IF(G17="""","""",GOOGLETRANSLATE(G17,""ja"",""en""))"),"Salmon and salmon roe")</f>
        <v>Salmon and salmon roe</v>
      </c>
      <c r="I17" s="29" t="str">
        <f>IFERROR(__xludf.DUMMYFUNCTION("IF(G17="""","""",GOOGLETRANSLATE(G17,""ja"",""ko""))"),"연어 · 얼마")</f>
        <v>연어 · 얼마</v>
      </c>
      <c r="J17" s="30"/>
      <c r="K17" s="31">
        <v>2800.0</v>
      </c>
      <c r="L17" s="28" t="s">
        <v>64</v>
      </c>
      <c r="M17" s="29" t="str">
        <f>IFERROR(__xludf.DUMMYFUNCTION("IF(L17="""","""",GOOGLETRANSLATE(L17,""ja"",""en""))"),"Salmon roe")</f>
        <v>Salmon roe</v>
      </c>
      <c r="N17" s="29" t="str">
        <f>IFERROR(__xludf.DUMMYFUNCTION("IF(L17="""","""",GOOGLETRANSLATE(L17,""ja"",""ko""))"),"아무리·연어")</f>
        <v>아무리·연어</v>
      </c>
      <c r="O17" s="5"/>
    </row>
    <row r="18" ht="33.75" customHeight="1">
      <c r="A18" s="20"/>
      <c r="B18" s="21" t="s">
        <v>32</v>
      </c>
      <c r="C18" s="27">
        <v>12.0</v>
      </c>
      <c r="D18" s="28" t="s">
        <v>65</v>
      </c>
      <c r="E18" s="29" t="str">
        <f>IFERROR(__xludf.DUMMYFUNCTION("IF(D18="""","""",GOOGLETRANSLATE(D18,""ja"",""en""))"),"Seafood Goshikidon")</f>
        <v>Seafood Goshikidon</v>
      </c>
      <c r="F18" s="29" t="str">
        <f>IFERROR(__xludf.DUMMYFUNCTION("IF(D18="""","""",GOOGLETRANSLATE(D18,""ja"",""ko""))"),"해물 오색 덮밥")</f>
        <v>해물 오색 덮밥</v>
      </c>
      <c r="G18" s="28" t="s">
        <v>66</v>
      </c>
      <c r="H18" s="29" t="str">
        <f>IFERROR(__xludf.DUMMYFUNCTION("IF(G18="""","""",GOOGLETRANSLATE(G18,""ja"",""en""))"),"Crab, sweet shrimp, salmon, tuna, scallops")</f>
        <v>Crab, sweet shrimp, salmon, tuna, scallops</v>
      </c>
      <c r="I18" s="29" t="str">
        <f>IFERROR(__xludf.DUMMYFUNCTION("IF(G18="""","""",GOOGLETRANSLATE(G18,""ja"",""ko""))"),"게, 달콤한 새우, 연어, 참치, 가리비")</f>
        <v>게, 달콤한 새우, 연어, 참치, 가리비</v>
      </c>
      <c r="J18" s="30"/>
      <c r="K18" s="31">
        <v>3800.0</v>
      </c>
      <c r="L18" s="28" t="s">
        <v>67</v>
      </c>
      <c r="M18" s="29" t="str">
        <f>IFERROR(__xludf.DUMMYFUNCTION("IF(L18="""","""",GOOGLETRANSLATE(L18,""ja"",""en""))"),"Crab, shrimp, salmon")</f>
        <v>Crab, shrimp, salmon</v>
      </c>
      <c r="N18" s="29" t="str">
        <f>IFERROR(__xludf.DUMMYFUNCTION("IF(L18="""","""",GOOGLETRANSLATE(L18,""ja"",""ko""))"),"게, 새우, 연어")</f>
        <v>게, 새우, 연어</v>
      </c>
      <c r="O18" s="5"/>
    </row>
    <row r="19" ht="33.75" customHeight="1">
      <c r="A19" s="20"/>
      <c r="B19" s="21" t="s">
        <v>32</v>
      </c>
      <c r="C19" s="27" t="s">
        <v>68</v>
      </c>
      <c r="D19" s="28" t="s">
        <v>69</v>
      </c>
      <c r="E19" s="29" t="str">
        <f>IFERROR(__xludf.DUMMYFUNCTION("IF(D19="""","""",GOOGLETRANSLATE(D19,""ja"",""en""))"),"Sashimi platter rice bowl")</f>
        <v>Sashimi platter rice bowl</v>
      </c>
      <c r="F19" s="29" t="str">
        <f>IFERROR(__xludf.DUMMYFUNCTION("IF(D19="""","""",GOOGLETRANSLATE(D19,""ja"",""ko""))"),"사시미 모듬 덮밥")</f>
        <v>사시미 모듬 덮밥</v>
      </c>
      <c r="G19" s="28" t="s">
        <v>70</v>
      </c>
      <c r="H19" s="29" t="str">
        <f>IFERROR(__xludf.DUMMYFUNCTION("IF(G19="""","""",GOOGLETRANSLATE(G19,""ja"",""en""))"),"King crab sashimi, spot prawns, salmon, tuna, scallops, sea urchin, salmon roe, crab claws")</f>
        <v>King crab sashimi, spot prawns, salmon, tuna, scallops, sea urchin, salmon roe, crab claws</v>
      </c>
      <c r="I19" s="29" t="str">
        <f>IFERROR(__xludf.DUMMYFUNCTION("IF(G19="""","""",GOOGLETRANSLATE(G19,""ja"",""ko""))"),"대구 사시미, 버튼 새우, 연어, 참치, 가리비, 우니, 얼마, 게 손톱")</f>
        <v>대구 사시미, 버튼 새우, 연어, 참치, 가리비, 우니, 얼마, 게 손톱</v>
      </c>
      <c r="J19" s="30"/>
      <c r="K19" s="31">
        <v>4900.0</v>
      </c>
      <c r="L19" s="28" t="s">
        <v>71</v>
      </c>
      <c r="M19" s="29" t="str">
        <f>IFERROR(__xludf.DUMMYFUNCTION("IF(L19="""","""",GOOGLETRANSLATE(L19,""ja"",""en""))"),"Crab, shrimp, salmon, salmon roe")</f>
        <v>Crab, shrimp, salmon, salmon roe</v>
      </c>
      <c r="N19" s="29" t="str">
        <f>IFERROR(__xludf.DUMMYFUNCTION("IF(L19="""","""",GOOGLETRANSLATE(L19,""ja"",""ko""))"),"게, 새우, 연어, 얼마")</f>
        <v>게, 새우, 연어, 얼마</v>
      </c>
      <c r="O19" s="5"/>
    </row>
    <row r="20" ht="33.75" customHeight="1">
      <c r="A20" s="20"/>
      <c r="B20" s="21" t="s">
        <v>32</v>
      </c>
      <c r="C20" s="27" t="s">
        <v>72</v>
      </c>
      <c r="D20" s="28" t="s">
        <v>73</v>
      </c>
      <c r="E20" s="29" t="str">
        <f>IFERROR(__xludf.DUMMYFUNCTION("IF(D20="""","""",GOOGLETRANSLATE(D20,""ja"",""en""))"),"Crab sashimi platter rice bowl")</f>
        <v>Crab sashimi platter rice bowl</v>
      </c>
      <c r="F20" s="29" t="str">
        <f>IFERROR(__xludf.DUMMYFUNCTION("IF(D20="""","""",GOOGLETRANSLATE(D20,""ja"",""ko""))"),"게의 사시미 모듬 덮밥")</f>
        <v>게의 사시미 모듬 덮밥</v>
      </c>
      <c r="G20" s="28" t="s">
        <v>74</v>
      </c>
      <c r="H20" s="29" t="str">
        <f>IFERROR(__xludf.DUMMYFUNCTION("IF(G20="""","""",GOOGLETRANSLATE(G20,""ja"",""en""))"),"Snow crab sashimi (3 pieces) and king crab sashimi")</f>
        <v>Snow crab sashimi (3 pieces) and king crab sashimi</v>
      </c>
      <c r="I20" s="29" t="str">
        <f>IFERROR(__xludf.DUMMYFUNCTION("IF(G20="""","""",GOOGLETRANSLATE(G20,""ja"",""ko""))"),"대게 사시미 3개・타라바 사시미")</f>
        <v>대게 사시미 3개・타라바 사시미</v>
      </c>
      <c r="J20" s="30"/>
      <c r="K20" s="31">
        <v>3900.0</v>
      </c>
      <c r="L20" s="28" t="s">
        <v>36</v>
      </c>
      <c r="M20" s="29" t="str">
        <f>IFERROR(__xludf.DUMMYFUNCTION("IF(L20="""","""",GOOGLETRANSLATE(L20,""ja"",""en""))"),"crab")</f>
        <v>crab</v>
      </c>
      <c r="N20" s="29" t="str">
        <f>IFERROR(__xludf.DUMMYFUNCTION("IF(L20="""","""",GOOGLETRANSLATE(L20,""ja"",""ko""))"),"게")</f>
        <v>게</v>
      </c>
      <c r="O20" s="5"/>
    </row>
    <row r="21" ht="33.75" customHeight="1">
      <c r="A21" s="20"/>
      <c r="B21" s="21" t="s">
        <v>32</v>
      </c>
      <c r="C21" s="27" t="s">
        <v>75</v>
      </c>
      <c r="D21" s="28" t="s">
        <v>76</v>
      </c>
      <c r="E21" s="29" t="str">
        <f>IFERROR(__xludf.DUMMYFUNCTION("IF(D21="""","""",GOOGLETRANSLATE(D21,""ja"",""en""))"),"King crab sashimi rice bowl")</f>
        <v>King crab sashimi rice bowl</v>
      </c>
      <c r="F21" s="29" t="str">
        <f>IFERROR(__xludf.DUMMYFUNCTION("IF(D21="""","""",GOOGLETRANSLATE(D21,""ja"",""ko""))"),"타라바 게 사시미 덮밥")</f>
        <v>타라바 게 사시미 덮밥</v>
      </c>
      <c r="G21" s="28" t="s">
        <v>77</v>
      </c>
      <c r="H21" s="29" t="str">
        <f>IFERROR(__xludf.DUMMYFUNCTION("IF(G21="""","""",GOOGLETRANSLATE(G21,""ja"",""en""))"),"King crab sashimi")</f>
        <v>King crab sashimi</v>
      </c>
      <c r="I21" s="29" t="str">
        <f>IFERROR(__xludf.DUMMYFUNCTION("IF(G21="""","""",GOOGLETRANSLATE(G21,""ja"",""ko""))"),"타라바가 사시미")</f>
        <v>타라바가 사시미</v>
      </c>
      <c r="J21" s="30"/>
      <c r="K21" s="31">
        <v>6000.0</v>
      </c>
      <c r="L21" s="28" t="s">
        <v>36</v>
      </c>
      <c r="M21" s="29" t="str">
        <f>IFERROR(__xludf.DUMMYFUNCTION("IF(L21="""","""",GOOGLETRANSLATE(L21,""ja"",""en""))"),"crab")</f>
        <v>crab</v>
      </c>
      <c r="N21" s="29" t="str">
        <f>IFERROR(__xludf.DUMMYFUNCTION("IF(L21="""","""",GOOGLETRANSLATE(L21,""ja"",""ko""))"),"게")</f>
        <v>게</v>
      </c>
      <c r="O21" s="5"/>
    </row>
    <row r="22" ht="33.75" customHeight="1">
      <c r="A22" s="20"/>
      <c r="B22" s="21" t="s">
        <v>32</v>
      </c>
      <c r="C22" s="27" t="s">
        <v>78</v>
      </c>
      <c r="D22" s="28" t="s">
        <v>79</v>
      </c>
      <c r="E22" s="29" t="str">
        <f>IFERROR(__xludf.DUMMYFUNCTION("IF(D22="""","""",GOOGLETRANSLATE(D22,""ja"",""en""))"),"Steamed sea urchin and salmon roe rice bowl")</f>
        <v>Steamed sea urchin and salmon roe rice bowl</v>
      </c>
      <c r="F22" s="29" t="str">
        <f>IFERROR(__xludf.DUMMYFUNCTION("IF(D22="""","""",GOOGLETRANSLATE(D22,""ja"",""ko""))"),"찐 성게 · 아키라 덮밥")</f>
        <v>찐 성게 · 아키라 덮밥</v>
      </c>
      <c r="G22" s="28" t="s">
        <v>80</v>
      </c>
      <c r="H22" s="29" t="str">
        <f>IFERROR(__xludf.DUMMYFUNCTION("IF(G22="""","""",GOOGLETRANSLATE(G22,""ja"",""en""))"),"Steamed sea urchin and salmon roe")</f>
        <v>Steamed sea urchin and salmon roe</v>
      </c>
      <c r="I22" s="29" t="str">
        <f>IFERROR(__xludf.DUMMYFUNCTION("IF(G22="""","""",GOOGLETRANSLATE(G22,""ja"",""ko""))"),"찐 성게 · 얼마")</f>
        <v>찐 성게 · 얼마</v>
      </c>
      <c r="J22" s="30"/>
      <c r="K22" s="31">
        <v>3500.0</v>
      </c>
      <c r="L22" s="28" t="s">
        <v>64</v>
      </c>
      <c r="M22" s="29" t="str">
        <f>IFERROR(__xludf.DUMMYFUNCTION("IF(L22="""","""",GOOGLETRANSLATE(L22,""ja"",""en""))"),"Salmon roe")</f>
        <v>Salmon roe</v>
      </c>
      <c r="N22" s="29" t="str">
        <f>IFERROR(__xludf.DUMMYFUNCTION("IF(L22="""","""",GOOGLETRANSLATE(L22,""ja"",""ko""))"),"아무리·연어")</f>
        <v>아무리·연어</v>
      </c>
      <c r="O22" s="5"/>
    </row>
    <row r="23" ht="33.75" customHeight="1">
      <c r="A23" s="20"/>
      <c r="B23" s="21" t="s">
        <v>32</v>
      </c>
      <c r="C23" s="27" t="s">
        <v>81</v>
      </c>
      <c r="D23" s="28" t="s">
        <v>82</v>
      </c>
      <c r="E23" s="29" t="str">
        <f>IFERROR(__xludf.DUMMYFUNCTION("IF(D23="""","""",GOOGLETRANSLATE(D23,""ja"",""en""))"),"Steamed sea urchin and crab rice bowl")</f>
        <v>Steamed sea urchin and crab rice bowl</v>
      </c>
      <c r="F23" s="29" t="str">
        <f>IFERROR(__xludf.DUMMYFUNCTION("IF(D23="""","""",GOOGLETRANSLATE(D23,""ja"",""ko""))"),"찐 성게 · 게 덮밥")</f>
        <v>찐 성게 · 게 덮밥</v>
      </c>
      <c r="G23" s="28" t="s">
        <v>83</v>
      </c>
      <c r="H23" s="29" t="str">
        <f>IFERROR(__xludf.DUMMYFUNCTION("IF(G23="""","""",GOOGLETRANSLATE(G23,""ja"",""en""))"),"Steamed sea urchin and crab")</f>
        <v>Steamed sea urchin and crab</v>
      </c>
      <c r="I23" s="29" t="str">
        <f>IFERROR(__xludf.DUMMYFUNCTION("IF(G23="""","""",GOOGLETRANSLATE(G23,""ja"",""ko""))"),"찐 성게 · 게")</f>
        <v>찐 성게 · 게</v>
      </c>
      <c r="J23" s="30"/>
      <c r="K23" s="31">
        <v>3000.0</v>
      </c>
      <c r="L23" s="28" t="s">
        <v>36</v>
      </c>
      <c r="M23" s="29" t="str">
        <f>IFERROR(__xludf.DUMMYFUNCTION("IF(L23="""","""",GOOGLETRANSLATE(L23,""ja"",""en""))"),"crab")</f>
        <v>crab</v>
      </c>
      <c r="N23" s="29" t="str">
        <f>IFERROR(__xludf.DUMMYFUNCTION("IF(L23="""","""",GOOGLETRANSLATE(L23,""ja"",""ko""))"),"게")</f>
        <v>게</v>
      </c>
      <c r="O23" s="5"/>
    </row>
    <row r="24" ht="33.75" customHeight="1">
      <c r="A24" s="20"/>
      <c r="B24" s="21" t="s">
        <v>32</v>
      </c>
      <c r="C24" s="27" t="s">
        <v>84</v>
      </c>
      <c r="D24" s="28" t="s">
        <v>85</v>
      </c>
      <c r="E24" s="29" t="str">
        <f>IFERROR(__xludf.DUMMYFUNCTION("IF(D24="""","""",GOOGLETRANSLATE(D24,""ja"",""en""))"),"Steamed sea urchin, crab, and salmon roe rice bowl")</f>
        <v>Steamed sea urchin, crab, and salmon roe rice bowl</v>
      </c>
      <c r="F24" s="29" t="str">
        <f>IFERROR(__xludf.DUMMYFUNCTION("IF(D24="""","""",GOOGLETRANSLATE(D24,""ja"",""ko""))"),"찐 성게 · 게 · 아무리 덮밥")</f>
        <v>찐 성게 · 게 · 아무리 덮밥</v>
      </c>
      <c r="G24" s="28" t="s">
        <v>86</v>
      </c>
      <c r="H24" s="29" t="str">
        <f>IFERROR(__xludf.DUMMYFUNCTION("IF(G24="""","""",GOOGLETRANSLATE(G24,""ja"",""en""))"),"Steamed sea urchin, crab, and salmon roe")</f>
        <v>Steamed sea urchin, crab, and salmon roe</v>
      </c>
      <c r="I24" s="29" t="str">
        <f>IFERROR(__xludf.DUMMYFUNCTION("IF(G24="""","""",GOOGLETRANSLATE(G24,""ja"",""ko""))"),"찐 성게 · 게 · 얼마")</f>
        <v>찐 성게 · 게 · 얼마</v>
      </c>
      <c r="J24" s="30"/>
      <c r="K24" s="31">
        <v>3200.0</v>
      </c>
      <c r="L24" s="28" t="s">
        <v>41</v>
      </c>
      <c r="M24" s="29" t="str">
        <f>IFERROR(__xludf.DUMMYFUNCTION("IF(L24="""","""",GOOGLETRANSLATE(L24,""ja"",""en""))"),"Crab and salmon roe")</f>
        <v>Crab and salmon roe</v>
      </c>
      <c r="N24" s="29" t="str">
        <f>IFERROR(__xludf.DUMMYFUNCTION("IF(L24="""","""",GOOGLETRANSLATE(L24,""ja"",""ko""))"),"게 · 얼마")</f>
        <v>게 · 얼마</v>
      </c>
      <c r="O24" s="5"/>
    </row>
    <row r="25" ht="33.75" customHeight="1">
      <c r="A25" s="20"/>
      <c r="B25" s="21" t="s">
        <v>32</v>
      </c>
      <c r="C25" s="27" t="s">
        <v>87</v>
      </c>
      <c r="D25" s="28" t="s">
        <v>88</v>
      </c>
      <c r="E25" s="29" t="str">
        <f>IFERROR(__xludf.DUMMYFUNCTION("IF(D25="""","""",GOOGLETRANSLATE(D25,""ja"",""en""))"),"Special Value Crab Rice Bowl")</f>
        <v>Special Value Crab Rice Bowl</v>
      </c>
      <c r="F25" s="29" t="str">
        <f>IFERROR(__xludf.DUMMYFUNCTION("IF(D25="""","""",GOOGLETRANSLATE(D25,""ja"",""ko""))"),"특득에 덮밥")</f>
        <v>특득에 덮밥</v>
      </c>
      <c r="G25" s="28" t="s">
        <v>89</v>
      </c>
      <c r="H25" s="29" t="str">
        <f>IFERROR(__xludf.DUMMYFUNCTION("IF(G25="""","""",GOOGLETRANSLATE(G25,""ja"",""en""))"),"Crab and crab claws")</f>
        <v>Crab and crab claws</v>
      </c>
      <c r="I25" s="29" t="str">
        <f>IFERROR(__xludf.DUMMYFUNCTION("IF(G25="""","""",GOOGLETRANSLATE(G25,""ja"",""ko""))"),"게 · 게 손톱")</f>
        <v>게 · 게 손톱</v>
      </c>
      <c r="J25" s="30"/>
      <c r="K25" s="31">
        <v>1500.0</v>
      </c>
      <c r="L25" s="28" t="s">
        <v>36</v>
      </c>
      <c r="M25" s="29" t="str">
        <f>IFERROR(__xludf.DUMMYFUNCTION("IF(L25="""","""",GOOGLETRANSLATE(L25,""ja"",""en""))"),"crab")</f>
        <v>crab</v>
      </c>
      <c r="N25" s="29" t="str">
        <f>IFERROR(__xludf.DUMMYFUNCTION("IF(L25="""","""",GOOGLETRANSLATE(L25,""ja"",""ko""))"),"게")</f>
        <v>게</v>
      </c>
      <c r="O25" s="5"/>
    </row>
    <row r="26" ht="33.75" customHeight="1">
      <c r="A26" s="20"/>
      <c r="B26" s="21" t="s">
        <v>32</v>
      </c>
      <c r="C26" s="27" t="s">
        <v>90</v>
      </c>
      <c r="D26" s="28" t="s">
        <v>91</v>
      </c>
      <c r="E26" s="29" t="str">
        <f>IFERROR(__xludf.DUMMYFUNCTION("IF(D26="""","""",GOOGLETRANSLATE(D26,""ja"",""en""))"),"King Crab Rice Bowl from Hokkaido")</f>
        <v>King Crab Rice Bowl from Hokkaido</v>
      </c>
      <c r="F26" s="29" t="str">
        <f>IFERROR(__xludf.DUMMYFUNCTION("IF(D26="""","""",GOOGLETRANSLATE(D26,""ja"",""ko""))"),"홋카이도산 타라바 덮밥")</f>
        <v>홋카이도산 타라바 덮밥</v>
      </c>
      <c r="G26" s="28" t="s">
        <v>92</v>
      </c>
      <c r="H26" s="29" t="str">
        <f>IFERROR(__xludf.DUMMYFUNCTION("IF(G26="""","""",GOOGLETRANSLATE(G26,""ja"",""en""))"),"King crab leg meat and crab flakes from Hokkaido")</f>
        <v>King crab leg meat and crab flakes from Hokkaido</v>
      </c>
      <c r="I26" s="29" t="str">
        <f>IFERROR(__xludf.DUMMYFUNCTION("IF(G26="""","""",GOOGLETRANSLATE(G26,""ja"",""ko""))"),"홋카이도산 타라바 봉육・게 플레이크")</f>
        <v>홋카이도산 타라바 봉육・게 플레이크</v>
      </c>
      <c r="J26" s="30"/>
      <c r="K26" s="31">
        <v>3800.0</v>
      </c>
      <c r="L26" s="28" t="s">
        <v>36</v>
      </c>
      <c r="M26" s="29" t="str">
        <f>IFERROR(__xludf.DUMMYFUNCTION("IF(L26="""","""",GOOGLETRANSLATE(L26,""ja"",""en""))"),"crab")</f>
        <v>crab</v>
      </c>
      <c r="N26" s="29" t="str">
        <f>IFERROR(__xludf.DUMMYFUNCTION("IF(L26="""","""",GOOGLETRANSLATE(L26,""ja"",""ko""))"),"게")</f>
        <v>게</v>
      </c>
      <c r="O26" s="5"/>
    </row>
    <row r="27" ht="33.75" customHeight="1">
      <c r="A27" s="20"/>
      <c r="B27" s="21" t="s">
        <v>32</v>
      </c>
      <c r="C27" s="27" t="s">
        <v>93</v>
      </c>
      <c r="D27" s="28" t="s">
        <v>94</v>
      </c>
      <c r="E27" s="29" t="str">
        <f>IFERROR(__xludf.DUMMYFUNCTION("IF(D27="""","""",GOOGLETRANSLATE(D27,""ja"",""en""))"),"King Crab Feast from Hokkaido")</f>
        <v>King Crab Feast from Hokkaido</v>
      </c>
      <c r="F27" s="29" t="str">
        <f>IFERROR(__xludf.DUMMYFUNCTION("IF(D27="""","""",GOOGLETRANSLATE(D27,""ja"",""ko""))"),"홋카이도산 타라바 미사키")</f>
        <v>홋카이도산 타라바 미사키</v>
      </c>
      <c r="G27" s="28" t="s">
        <v>95</v>
      </c>
      <c r="H27" s="29" t="str">
        <f>IFERROR(__xludf.DUMMYFUNCTION("IF(G27="""","""",GOOGLETRANSLATE(G27,""ja"",""en""))"),"Hokkaido-produced king crab leg meat, crab flakes, sea urchin, and salmon roe")</f>
        <v>Hokkaido-produced king crab leg meat, crab flakes, sea urchin, and salmon roe</v>
      </c>
      <c r="I27" s="29" t="str">
        <f>IFERROR(__xludf.DUMMYFUNCTION("IF(G27="""","""",GOOGLETRANSLATE(G27,""ja"",""ko""))"),"홋카이도산 타라바 봉육·게 플레이크·우니·얼마")</f>
        <v>홋카이도산 타라바 봉육·게 플레이크·우니·얼마</v>
      </c>
      <c r="J27" s="30"/>
      <c r="K27" s="31">
        <v>5000.0</v>
      </c>
      <c r="L27" s="28" t="s">
        <v>41</v>
      </c>
      <c r="M27" s="29" t="str">
        <f>IFERROR(__xludf.DUMMYFUNCTION("IF(L27="""","""",GOOGLETRANSLATE(L27,""ja"",""en""))"),"Crab and salmon roe")</f>
        <v>Crab and salmon roe</v>
      </c>
      <c r="N27" s="29" t="str">
        <f>IFERROR(__xludf.DUMMYFUNCTION("IF(L27="""","""",GOOGLETRANSLATE(L27,""ja"",""ko""))"),"게 · 얼마")</f>
        <v>게 · 얼마</v>
      </c>
      <c r="O27" s="5"/>
    </row>
    <row r="28" ht="33.75" customHeight="1">
      <c r="A28" s="20"/>
      <c r="B28" s="21" t="s">
        <v>32</v>
      </c>
      <c r="C28" s="27" t="s">
        <v>96</v>
      </c>
      <c r="D28" s="28" t="s">
        <v>97</v>
      </c>
      <c r="E28" s="29" t="str">
        <f>IFERROR(__xludf.DUMMYFUNCTION("IF(D28="""","""",GOOGLETRANSLATE(D28,""ja"",""en""))"),"Northern Luxury Donburi")</f>
        <v>Northern Luxury Donburi</v>
      </c>
      <c r="F28" s="29" t="str">
        <f>IFERROR(__xludf.DUMMYFUNCTION("IF(D28="""","""",GOOGLETRANSLATE(D28,""ja"",""ko""))"),"북쪽의 호화 사발")</f>
        <v>북쪽의 호화 사발</v>
      </c>
      <c r="G28" s="28" t="s">
        <v>98</v>
      </c>
      <c r="H28" s="29" t="str">
        <f>IFERROR(__xludf.DUMMYFUNCTION("IF(G28="""","""",GOOGLETRANSLATE(G28,""ja"",""en""))"),"Crab, salmon, tuna, scallop, sea urchin, salmon roe")</f>
        <v>Crab, salmon, tuna, scallop, sea urchin, salmon roe</v>
      </c>
      <c r="I28" s="29" t="str">
        <f>IFERROR(__xludf.DUMMYFUNCTION("IF(G28="""","""",GOOGLETRANSLATE(G28,""ja"",""ko""))"),"게, 연어, 참치, 호타테, 우니, 얼마")</f>
        <v>게, 연어, 참치, 호타테, 우니, 얼마</v>
      </c>
      <c r="J28" s="30"/>
      <c r="K28" s="31">
        <v>5800.0</v>
      </c>
      <c r="L28" s="28" t="s">
        <v>99</v>
      </c>
      <c r="M28" s="29" t="str">
        <f>IFERROR(__xludf.DUMMYFUNCTION("IF(L28="""","""",GOOGLETRANSLATE(L28,""ja"",""en""))"),"Crab, salmon roe, salmon, shrimp")</f>
        <v>Crab, salmon roe, salmon, shrimp</v>
      </c>
      <c r="N28" s="29" t="str">
        <f>IFERROR(__xludf.DUMMYFUNCTION("IF(L28="""","""",GOOGLETRANSLATE(L28,""ja"",""ko""))"),"게 · 얼마 · 연어 · 새우")</f>
        <v>게 · 얼마 · 연어 · 새우</v>
      </c>
      <c r="O28" s="5"/>
    </row>
    <row r="29" ht="33.75" customHeight="1">
      <c r="A29" s="20"/>
      <c r="B29" s="21" t="s">
        <v>32</v>
      </c>
      <c r="C29" s="27" t="s">
        <v>100</v>
      </c>
      <c r="D29" s="28" t="s">
        <v>101</v>
      </c>
      <c r="E29" s="29" t="str">
        <f>IFERROR(__xludf.DUMMYFUNCTION("IF(D29="""","""",GOOGLETRANSLATE(D29,""ja"",""en""))"),"Premium Crab Factory Rice Bowl")</f>
        <v>Premium Crab Factory Rice Bowl</v>
      </c>
      <c r="F29" s="29" t="str">
        <f>IFERROR(__xludf.DUMMYFUNCTION("IF(D29="""","""",GOOGLETRANSLATE(D29,""ja"",""ko""))"),"특상 게공선 덮밥")</f>
        <v>특상 게공선 덮밥</v>
      </c>
      <c r="G29" s="28" t="s">
        <v>102</v>
      </c>
      <c r="H29" s="29" t="str">
        <f>IFERROR(__xludf.DUMMYFUNCTION("IF(G29="""","""",GOOGLETRANSLATE(G29,""ja"",""en""))"),"King crab, snow crab, salmon, tuna, scallop, sea urchin, salmon roe, egg")</f>
        <v>King crab, snow crab, salmon, tuna, scallop, sea urchin, salmon roe, egg</v>
      </c>
      <c r="I29" s="29" t="str">
        <f>IFERROR(__xludf.DUMMYFUNCTION("IF(G29="""","""",GOOGLETRANSLATE(G29,""ja"",""ko""))"),"타라바가 · 대나무 게 · 연어 · 참치 · 호타테 · 우니 · 얼마 · 계란")</f>
        <v>타라바가 · 대나무 게 · 연어 · 참치 · 호타테 · 우니 · 얼마 · 계란</v>
      </c>
      <c r="J29" s="30"/>
      <c r="K29" s="31">
        <v>6000.0</v>
      </c>
      <c r="L29" s="28" t="s">
        <v>99</v>
      </c>
      <c r="M29" s="29" t="str">
        <f>IFERROR(__xludf.DUMMYFUNCTION("IF(L29="""","""",GOOGLETRANSLATE(L29,""ja"",""en""))"),"Crab, salmon roe, salmon, shrimp")</f>
        <v>Crab, salmon roe, salmon, shrimp</v>
      </c>
      <c r="N29" s="29" t="str">
        <f>IFERROR(__xludf.DUMMYFUNCTION("IF(L29="""","""",GOOGLETRANSLATE(L29,""ja"",""ko""))"),"게 · 얼마 · 연어 · 새우")</f>
        <v>게 · 얼마 · 연어 · 새우</v>
      </c>
      <c r="O29" s="5"/>
    </row>
    <row r="30" ht="33.75" customHeight="1">
      <c r="A30" s="20"/>
      <c r="B30" s="28" t="s">
        <v>103</v>
      </c>
      <c r="C30" s="32"/>
      <c r="D30" s="28" t="s">
        <v>104</v>
      </c>
      <c r="E30" s="29" t="str">
        <f>IFERROR(__xludf.DUMMYFUNCTION("IF(D30="""","""",GOOGLETRANSLATE(D30,""ja"",""en""))"),"Hokkaido Grilled Salmon Set Meal")</f>
        <v>Hokkaido Grilled Salmon Set Meal</v>
      </c>
      <c r="F30" s="29" t="str">
        <f>IFERROR(__xludf.DUMMYFUNCTION("IF(D30="""","""",GOOGLETRANSLATE(D30,""ja"",""ko""))"),"홋카이도 소 연어 진")</f>
        <v>홋카이도 소 연어 진</v>
      </c>
      <c r="G30" s="28" t="s">
        <v>105</v>
      </c>
      <c r="H30" s="29" t="str">
        <f>IFERROR(__xludf.DUMMYFUNCTION("IF(G30="""","""",GOOGLETRANSLATE(G30,""ja"",""en""))"),"Salmon, crab, salmon roe")</f>
        <v>Salmon, crab, salmon roe</v>
      </c>
      <c r="I30" s="29" t="str">
        <f>IFERROR(__xludf.DUMMYFUNCTION("IF(G30="""","""",GOOGLETRANSLATE(G30,""ja"",""ko""))"),"연어, 게, 얼마")</f>
        <v>연어, 게, 얼마</v>
      </c>
      <c r="J30" s="30"/>
      <c r="K30" s="31">
        <v>3500.0</v>
      </c>
      <c r="L30" s="28" t="s">
        <v>105</v>
      </c>
      <c r="M30" s="29" t="str">
        <f>IFERROR(__xludf.DUMMYFUNCTION("IF(L30="""","""",GOOGLETRANSLATE(L30,""ja"",""en""))"),"Salmon, crab, salmon roe")</f>
        <v>Salmon, crab, salmon roe</v>
      </c>
      <c r="N30" s="29" t="str">
        <f>IFERROR(__xludf.DUMMYFUNCTION("IF(L30="""","""",GOOGLETRANSLATE(L30,""ja"",""ko""))"),"연어, 게, 얼마")</f>
        <v>연어, 게, 얼마</v>
      </c>
      <c r="O30" s="5"/>
    </row>
    <row r="31" ht="33.75" customHeight="1">
      <c r="A31" s="20"/>
      <c r="B31" s="28" t="s">
        <v>103</v>
      </c>
      <c r="C31" s="32"/>
      <c r="D31" s="28" t="s">
        <v>106</v>
      </c>
      <c r="E31" s="29" t="str">
        <f>IFERROR(__xludf.DUMMYFUNCTION("IF(D31="""","""",GOOGLETRANSLATE(D31,""ja"",""en""))"),"Morning hairy crab set meal")</f>
        <v>Morning hairy crab set meal</v>
      </c>
      <c r="F31" s="29" t="str">
        <f>IFERROR(__xludf.DUMMYFUNCTION("IF(D31="""","""",GOOGLETRANSLATE(D31,""ja"",""ko""))"),"아침의 모게 정식")</f>
        <v>아침의 모게 정식</v>
      </c>
      <c r="G31" s="28" t="s">
        <v>107</v>
      </c>
      <c r="H31" s="29" t="str">
        <f>IFERROR(__xludf.DUMMYFUNCTION("IF(G31="""","""",GOOGLETRANSLATE(G31,""ja"",""en""))"),"Hairy crab and salmon roe")</f>
        <v>Hairy crab and salmon roe</v>
      </c>
      <c r="I31" s="29" t="str">
        <f>IFERROR(__xludf.DUMMYFUNCTION("IF(G31="""","""",GOOGLETRANSLATE(G31,""ja"",""ko""))"),"모게·얼마")</f>
        <v>모게·얼마</v>
      </c>
      <c r="J31" s="30"/>
      <c r="K31" s="31">
        <v>4500.0</v>
      </c>
      <c r="L31" s="28" t="s">
        <v>41</v>
      </c>
      <c r="M31" s="29" t="str">
        <f>IFERROR(__xludf.DUMMYFUNCTION("IF(L31="""","""",GOOGLETRANSLATE(L31,""ja"",""en""))"),"Crab and salmon roe")</f>
        <v>Crab and salmon roe</v>
      </c>
      <c r="N31" s="29" t="str">
        <f>IFERROR(__xludf.DUMMYFUNCTION("IF(L31="""","""",GOOGLETRANSLATE(L31,""ja"",""ko""))"),"게 · 얼마")</f>
        <v>게 · 얼마</v>
      </c>
      <c r="O31" s="5"/>
    </row>
    <row r="32" ht="33.75" customHeight="1">
      <c r="A32" s="20"/>
      <c r="B32" s="28" t="s">
        <v>103</v>
      </c>
      <c r="C32" s="32"/>
      <c r="D32" s="28" t="s">
        <v>108</v>
      </c>
      <c r="E32" s="29" t="str">
        <f>IFERROR(__xludf.DUMMYFUNCTION("IF(D32="""","""",GOOGLETRANSLATE(D32,""ja"",""en""))"),"Crab meal")</f>
        <v>Crab meal</v>
      </c>
      <c r="F32" s="29" t="str">
        <f>IFERROR(__xludf.DUMMYFUNCTION("IF(D32="""","""",GOOGLETRANSLATE(D32,""ja"",""ko""))"),"게 어선")</f>
        <v>게 어선</v>
      </c>
      <c r="G32" s="28" t="s">
        <v>109</v>
      </c>
      <c r="H32" s="29" t="str">
        <f>IFERROR(__xludf.DUMMYFUNCTION("IF(G32="""","""",GOOGLETRANSLATE(G32,""ja"",""en""))"),"Giant snow crab and salmon roe")</f>
        <v>Giant snow crab and salmon roe</v>
      </c>
      <c r="I32" s="29" t="str">
        <f>IFERROR(__xludf.DUMMYFUNCTION("IF(G32="""","""",GOOGLETRANSLATE(G32,""ja"",""ko""))"),"오오즈와이가니・얼마")</f>
        <v>오오즈와이가니・얼마</v>
      </c>
      <c r="J32" s="30"/>
      <c r="K32" s="31">
        <v>2980.0</v>
      </c>
      <c r="L32" s="28" t="s">
        <v>41</v>
      </c>
      <c r="M32" s="29" t="str">
        <f>IFERROR(__xludf.DUMMYFUNCTION("IF(L32="""","""",GOOGLETRANSLATE(L32,""ja"",""en""))"),"Crab and salmon roe")</f>
        <v>Crab and salmon roe</v>
      </c>
      <c r="N32" s="29" t="str">
        <f>IFERROR(__xludf.DUMMYFUNCTION("IF(L32="""","""",GOOGLETRANSLATE(L32,""ja"",""ko""))"),"게 · 얼마")</f>
        <v>게 · 얼마</v>
      </c>
      <c r="O32" s="5"/>
    </row>
    <row r="33" ht="33.75" customHeight="1">
      <c r="A33" s="20"/>
      <c r="B33" s="28" t="s">
        <v>103</v>
      </c>
      <c r="C33" s="32"/>
      <c r="D33" s="28" t="s">
        <v>110</v>
      </c>
      <c r="E33" s="29" t="str">
        <f>IFERROR(__xludf.DUMMYFUNCTION("IF(D33="""","""",GOOGLETRANSLATE(D33,""ja"",""en""))"),"Sashimi set meal")</f>
        <v>Sashimi set meal</v>
      </c>
      <c r="F33" s="29" t="str">
        <f>IFERROR(__xludf.DUMMYFUNCTION("IF(D33="""","""",GOOGLETRANSLATE(D33,""ja"",""ko""))"),"사시미 정식")</f>
        <v>사시미 정식</v>
      </c>
      <c r="G33" s="28" t="s">
        <v>111</v>
      </c>
      <c r="H33" s="29" t="str">
        <f>IFERROR(__xludf.DUMMYFUNCTION("IF(G33="""","""",GOOGLETRANSLATE(G33,""ja"",""en""))"),"Crab, salmon, scallops, sea urchin, salmon roe")</f>
        <v>Crab, salmon, scallops, sea urchin, salmon roe</v>
      </c>
      <c r="I33" s="29" t="str">
        <f>IFERROR(__xludf.DUMMYFUNCTION("IF(G33="""","""",GOOGLETRANSLATE(G33,""ja"",""ko""))"),"게, 연어, 호타테, 우니, 얼마")</f>
        <v>게, 연어, 호타테, 우니, 얼마</v>
      </c>
      <c r="J33" s="30"/>
      <c r="K33" s="31">
        <v>2800.0</v>
      </c>
      <c r="L33" s="28" t="s">
        <v>112</v>
      </c>
      <c r="M33" s="29" t="str">
        <f>IFERROR(__xludf.DUMMYFUNCTION("IF(L33="""","""",GOOGLETRANSLATE(L33,""ja"",""en""))"),"Crab, salmon roe, salmon")</f>
        <v>Crab, salmon roe, salmon</v>
      </c>
      <c r="N33" s="29" t="str">
        <f>IFERROR(__xludf.DUMMYFUNCTION("IF(L33="""","""",GOOGLETRANSLATE(L33,""ja"",""ko""))"),"게 · 얼마 · 연어")</f>
        <v>게 · 얼마 · 연어</v>
      </c>
      <c r="O33" s="5"/>
    </row>
    <row r="34" ht="33.75" customHeight="1">
      <c r="A34" s="20"/>
      <c r="B34" s="28" t="s">
        <v>103</v>
      </c>
      <c r="C34" s="32"/>
      <c r="D34" s="28" t="s">
        <v>113</v>
      </c>
      <c r="E34" s="29" t="str">
        <f>IFERROR(__xludf.DUMMYFUNCTION("IF(D34="""","""",GOOGLETRANSLATE(D34,""ja"",""en""))"),"Atka mackerel set meal")</f>
        <v>Atka mackerel set meal</v>
      </c>
      <c r="F34" s="29" t="str">
        <f>IFERROR(__xludf.DUMMYFUNCTION("IF(D34="""","""",GOOGLETRANSLATE(D34,""ja"",""ko""))"),"하키 정식")</f>
        <v>하키 정식</v>
      </c>
      <c r="G34" s="28" t="s">
        <v>114</v>
      </c>
      <c r="H34" s="29" t="str">
        <f>IFERROR(__xludf.DUMMYFUNCTION("IF(G34="""","""",GOOGLETRANSLATE(G34,""ja"",""en""))"),"Atka mackerel")</f>
        <v>Atka mackerel</v>
      </c>
      <c r="I34" s="29" t="str">
        <f>IFERROR(__xludf.DUMMYFUNCTION("IF(G34="""","""",GOOGLETRANSLATE(G34,""ja"",""ko""))"),"호케")</f>
        <v>호케</v>
      </c>
      <c r="J34" s="30"/>
      <c r="K34" s="31">
        <v>1900.0</v>
      </c>
      <c r="L34" s="5"/>
      <c r="M34" s="29" t="str">
        <f>IFERROR(__xludf.DUMMYFUNCTION("IF(L34="""","""",GOOGLETRANSLATE(L34,""ja"",""en""))"),"")</f>
        <v/>
      </c>
      <c r="N34" s="29" t="str">
        <f>IFERROR(__xludf.DUMMYFUNCTION("IF(L34="""","""",GOOGLETRANSLATE(L34,""ja"",""ko""))"),"")</f>
        <v/>
      </c>
      <c r="O34" s="5"/>
    </row>
    <row r="35" ht="33.75" customHeight="1">
      <c r="A35" s="20"/>
      <c r="B35" s="28" t="s">
        <v>103</v>
      </c>
      <c r="C35" s="32"/>
      <c r="D35" s="28" t="s">
        <v>115</v>
      </c>
      <c r="E35" s="29" t="str">
        <f>IFERROR(__xludf.DUMMYFUNCTION("IF(D35="""","""",GOOGLETRANSLATE(D35,""ja"",""en""))"),"Atka mackerel set meal (half portion)")</f>
        <v>Atka mackerel set meal (half portion)</v>
      </c>
      <c r="F35" s="29" t="str">
        <f>IFERROR(__xludf.DUMMYFUNCTION("IF(D35="""","""",GOOGLETRANSLATE(D35,""ja"",""ko""))"),"하키 정식(반신)")</f>
        <v>하키 정식(반신)</v>
      </c>
      <c r="G35" s="28" t="s">
        <v>114</v>
      </c>
      <c r="H35" s="29" t="str">
        <f>IFERROR(__xludf.DUMMYFUNCTION("IF(G35="""","""",GOOGLETRANSLATE(G35,""ja"",""en""))"),"Atka mackerel")</f>
        <v>Atka mackerel</v>
      </c>
      <c r="I35" s="29" t="str">
        <f>IFERROR(__xludf.DUMMYFUNCTION("IF(G35="""","""",GOOGLETRANSLATE(G35,""ja"",""ko""))"),"호케")</f>
        <v>호케</v>
      </c>
      <c r="J35" s="30"/>
      <c r="K35" s="31">
        <v>1300.0</v>
      </c>
      <c r="L35" s="5"/>
      <c r="M35" s="29" t="str">
        <f>IFERROR(__xludf.DUMMYFUNCTION("IF(L35="""","""",GOOGLETRANSLATE(L35,""ja"",""en""))"),"")</f>
        <v/>
      </c>
      <c r="N35" s="29" t="str">
        <f>IFERROR(__xludf.DUMMYFUNCTION("IF(L35="""","""",GOOGLETRANSLATE(L35,""ja"",""ko""))"),"")</f>
        <v/>
      </c>
      <c r="O35" s="5"/>
    </row>
    <row r="36" ht="33.75" customHeight="1">
      <c r="A36" s="20"/>
      <c r="B36" s="28" t="s">
        <v>103</v>
      </c>
      <c r="C36" s="32"/>
      <c r="D36" s="28" t="s">
        <v>116</v>
      </c>
      <c r="E36" s="29" t="str">
        <f>IFERROR(__xludf.DUMMYFUNCTION("IF(D36="""","""",GOOGLETRANSLATE(D36,""ja"",""en""))"),"Special Crab Set Meal")</f>
        <v>Special Crab Set Meal</v>
      </c>
      <c r="F36" s="29" t="str">
        <f>IFERROR(__xludf.DUMMYFUNCTION("IF(D36="""","""",GOOGLETRANSLATE(D36,""ja"",""ko""))"),"스페셜 게 어선")</f>
        <v>스페셜 게 어선</v>
      </c>
      <c r="G36" s="28" t="s">
        <v>117</v>
      </c>
      <c r="H36" s="29" t="str">
        <f>IFERROR(__xludf.DUMMYFUNCTION("IF(G36="""","""",GOOGLETRANSLATE(G36,""ja"",""en""))"),"Crab, snow crab, salmon, tuna, salmon roe")</f>
        <v>Crab, snow crab, salmon, tuna, salmon roe</v>
      </c>
      <c r="I36" s="29" t="str">
        <f>IFERROR(__xludf.DUMMYFUNCTION("IF(G36="""","""",GOOGLETRANSLATE(G36,""ja"",""ko""))"),"게 · 오오와이 · 연어 · 참치 · 얼마")</f>
        <v>게 · 오오와이 · 연어 · 참치 · 얼마</v>
      </c>
      <c r="J36" s="30"/>
      <c r="K36" s="31">
        <v>3980.0</v>
      </c>
      <c r="L36" s="28" t="s">
        <v>118</v>
      </c>
      <c r="M36" s="29" t="str">
        <f>IFERROR(__xludf.DUMMYFUNCTION("IF(L36="""","""",GOOGLETRANSLATE(L36,""ja"",""en""))"),"Crab, salmon, salmon roe")</f>
        <v>Crab, salmon, salmon roe</v>
      </c>
      <c r="N36" s="29" t="str">
        <f>IFERROR(__xludf.DUMMYFUNCTION("IF(L36="""","""",GOOGLETRANSLATE(L36,""ja"",""ko""))"),"게, 연어, 얼마")</f>
        <v>게, 연어, 얼마</v>
      </c>
      <c r="O36" s="5"/>
    </row>
    <row r="37" ht="33.75" customHeight="1">
      <c r="A37" s="20"/>
      <c r="B37" s="28" t="s">
        <v>103</v>
      </c>
      <c r="C37" s="32"/>
      <c r="D37" s="28" t="s">
        <v>119</v>
      </c>
      <c r="E37" s="29" t="str">
        <f>IFERROR(__xludf.DUMMYFUNCTION("IF(D37="""","""",GOOGLETRANSLATE(D37,""ja"",""en""))"),"Sashimi and grilled fish set meal (salmon)")</f>
        <v>Sashimi and grilled fish set meal (salmon)</v>
      </c>
      <c r="F37" s="29" t="str">
        <f>IFERROR(__xludf.DUMMYFUNCTION("IF(D37="""","""",GOOGLETRANSLATE(D37,""ja"",""ko""))"),"생선회와 구운 생선 정식(연어)")</f>
        <v>생선회와 구운 생선 정식(연어)</v>
      </c>
      <c r="G37" s="28" t="s">
        <v>120</v>
      </c>
      <c r="H37" s="29" t="str">
        <f>IFERROR(__xludf.DUMMYFUNCTION("IF(G37="""","""",GOOGLETRANSLATE(G37,""ja"",""en""))"),"Salmon, tuna, salmon roe")</f>
        <v>Salmon, tuna, salmon roe</v>
      </c>
      <c r="I37" s="29" t="str">
        <f>IFERROR(__xludf.DUMMYFUNCTION("IF(G37="""","""",GOOGLETRANSLATE(G37,""ja"",""ko""))"),"연어, 참치, 연어, 얼마")</f>
        <v>연어, 참치, 연어, 얼마</v>
      </c>
      <c r="J37" s="30"/>
      <c r="K37" s="31">
        <v>2200.0</v>
      </c>
      <c r="L37" s="28" t="s">
        <v>121</v>
      </c>
      <c r="M37" s="29" t="str">
        <f>IFERROR(__xludf.DUMMYFUNCTION("IF(L37="""","""",GOOGLETRANSLATE(L37,""ja"",""en""))"),"Salmon and salmon roe")</f>
        <v>Salmon and salmon roe</v>
      </c>
      <c r="N37" s="29" t="str">
        <f>IFERROR(__xludf.DUMMYFUNCTION("IF(L37="""","""",GOOGLETRANSLATE(L37,""ja"",""ko""))"),"연어 · 얼마")</f>
        <v>연어 · 얼마</v>
      </c>
      <c r="O37" s="5"/>
    </row>
    <row r="38" ht="33.75" customHeight="1">
      <c r="A38" s="20"/>
      <c r="B38" s="28" t="s">
        <v>103</v>
      </c>
      <c r="C38" s="32"/>
      <c r="D38" s="28" t="s">
        <v>122</v>
      </c>
      <c r="E38" s="29" t="str">
        <f>IFERROR(__xludf.DUMMYFUNCTION("IF(D38="""","""",GOOGLETRANSLATE(D38,""ja"",""en""))"),"Sashimi and grilled fish set meal (Atka mackerel)")</f>
        <v>Sashimi and grilled fish set meal (Atka mackerel)</v>
      </c>
      <c r="F38" s="29" t="str">
        <f>IFERROR(__xludf.DUMMYFUNCTION("IF(D38="""","""",GOOGLETRANSLATE(D38,""ja"",""ko""))"),"생선회와 구운 생선 정식(호케)")</f>
        <v>생선회와 구운 생선 정식(호케)</v>
      </c>
      <c r="G38" s="28" t="s">
        <v>123</v>
      </c>
      <c r="H38" s="29" t="str">
        <f>IFERROR(__xludf.DUMMYFUNCTION("IF(G38="""","""",GOOGLETRANSLATE(G38,""ja"",""en""))"),"Salmon, tuna, Atka mackerel, salmon roe")</f>
        <v>Salmon, tuna, Atka mackerel, salmon roe</v>
      </c>
      <c r="I38" s="29" t="str">
        <f>IFERROR(__xludf.DUMMYFUNCTION("IF(G38="""","""",GOOGLETRANSLATE(G38,""ja"",""ko""))"),"연어, 참치, 호케, 얼마")</f>
        <v>연어, 참치, 호케, 얼마</v>
      </c>
      <c r="J38" s="30"/>
      <c r="K38" s="31">
        <v>2000.0</v>
      </c>
      <c r="L38" s="28" t="s">
        <v>121</v>
      </c>
      <c r="M38" s="29" t="str">
        <f>IFERROR(__xludf.DUMMYFUNCTION("IF(L38="""","""",GOOGLETRANSLATE(L38,""ja"",""en""))"),"Salmon and salmon roe")</f>
        <v>Salmon and salmon roe</v>
      </c>
      <c r="N38" s="29" t="str">
        <f>IFERROR(__xludf.DUMMYFUNCTION("IF(L38="""","""",GOOGLETRANSLATE(L38,""ja"",""ko""))"),"연어 · 얼마")</f>
        <v>연어 · 얼마</v>
      </c>
      <c r="O38" s="5"/>
    </row>
    <row r="39" ht="33.75" customHeight="1">
      <c r="A39" s="20"/>
      <c r="B39" s="28" t="s">
        <v>124</v>
      </c>
      <c r="C39" s="32"/>
      <c r="D39" s="28" t="s">
        <v>125</v>
      </c>
      <c r="E39" s="29" t="str">
        <f>IFERROR(__xludf.DUMMYFUNCTION("IF(D39="""","""",GOOGLETRANSLATE(D39,""ja"",""en""))"),"Shrimp tempura rice bowl")</f>
        <v>Shrimp tempura rice bowl</v>
      </c>
      <c r="F39" s="29" t="str">
        <f>IFERROR(__xludf.DUMMYFUNCTION("IF(D39="""","""",GOOGLETRANSLATE(D39,""ja"",""ko""))"),"새우 텐동")</f>
        <v>새우 텐동</v>
      </c>
      <c r="G39" s="28" t="s">
        <v>126</v>
      </c>
      <c r="H39" s="29" t="str">
        <f>IFERROR(__xludf.DUMMYFUNCTION("IF(G39="""","""",GOOGLETRANSLATE(G39,""ja"",""en""))"),"Shrimp, eggplant, and shishito peppers")</f>
        <v>Shrimp, eggplant, and shishito peppers</v>
      </c>
      <c r="I39" s="29" t="str">
        <f>IFERROR(__xludf.DUMMYFUNCTION("IF(G39="""","""",GOOGLETRANSLATE(G39,""ja"",""ko""))"),"새우, 나스, 시시 토")</f>
        <v>새우, 나스, 시시 토</v>
      </c>
      <c r="J39" s="30"/>
      <c r="K39" s="31">
        <v>2200.0</v>
      </c>
      <c r="L39" s="28" t="s">
        <v>127</v>
      </c>
      <c r="M39" s="29" t="str">
        <f>IFERROR(__xludf.DUMMYFUNCTION("IF(L39="""","""",GOOGLETRANSLATE(L39,""ja"",""en""))"),"shrimp")</f>
        <v>shrimp</v>
      </c>
      <c r="N39" s="29" t="str">
        <f>IFERROR(__xludf.DUMMYFUNCTION("IF(L39="""","""",GOOGLETRANSLATE(L39,""ja"",""ko""))"),"새우")</f>
        <v>새우</v>
      </c>
      <c r="O39" s="5"/>
    </row>
    <row r="40" ht="33.75" customHeight="1">
      <c r="A40" s="20"/>
      <c r="B40" s="28" t="s">
        <v>124</v>
      </c>
      <c r="C40" s="32"/>
      <c r="D40" s="28" t="s">
        <v>128</v>
      </c>
      <c r="E40" s="29" t="str">
        <f>IFERROR(__xludf.DUMMYFUNCTION("IF(D40="""","""",GOOGLETRANSLATE(D40,""ja"",""en""))"),"Crab tempura rice bowl")</f>
        <v>Crab tempura rice bowl</v>
      </c>
      <c r="F40" s="29" t="str">
        <f>IFERROR(__xludf.DUMMYFUNCTION("IF(D40="""","""",GOOGLETRANSLATE(D40,""ja"",""ko""))"),"게 텐동")</f>
        <v>게 텐동</v>
      </c>
      <c r="G40" s="28" t="s">
        <v>129</v>
      </c>
      <c r="H40" s="29" t="str">
        <f>IFERROR(__xludf.DUMMYFUNCTION("IF(G40="""","""",GOOGLETRANSLATE(G40,""ja"",""en""))"),"Crab, eggplant, and shishito peppers")</f>
        <v>Crab, eggplant, and shishito peppers</v>
      </c>
      <c r="I40" s="29" t="str">
        <f>IFERROR(__xludf.DUMMYFUNCTION("IF(G40="""","""",GOOGLETRANSLATE(G40,""ja"",""ko""))"),"게 · 이수 · 시시 토")</f>
        <v>게 · 이수 · 시시 토</v>
      </c>
      <c r="J40" s="30"/>
      <c r="K40" s="31">
        <v>3200.0</v>
      </c>
      <c r="L40" s="28" t="s">
        <v>36</v>
      </c>
      <c r="M40" s="29" t="str">
        <f>IFERROR(__xludf.DUMMYFUNCTION("IF(L40="""","""",GOOGLETRANSLATE(L40,""ja"",""en""))"),"crab")</f>
        <v>crab</v>
      </c>
      <c r="N40" s="29" t="str">
        <f>IFERROR(__xludf.DUMMYFUNCTION("IF(L40="""","""",GOOGLETRANSLATE(L40,""ja"",""ko""))"),"게")</f>
        <v>게</v>
      </c>
      <c r="O40" s="5"/>
    </row>
    <row r="41" ht="33.75" customHeight="1">
      <c r="A41" s="20"/>
      <c r="B41" s="28" t="s">
        <v>124</v>
      </c>
      <c r="C41" s="32"/>
      <c r="D41" s="28" t="s">
        <v>130</v>
      </c>
      <c r="E41" s="29" t="str">
        <f>IFERROR(__xludf.DUMMYFUNCTION("IF(D41="""","""",GOOGLETRANSLATE(D41,""ja"",""en""))"),"King Crab Tempura Rice Bowl from Hokkaido")</f>
        <v>King Crab Tempura Rice Bowl from Hokkaido</v>
      </c>
      <c r="F41" s="29" t="str">
        <f>IFERROR(__xludf.DUMMYFUNCTION("IF(D41="""","""",GOOGLETRANSLATE(D41,""ja"",""ko""))"),"홋카이도산 타라바 텐동")</f>
        <v>홋카이도산 타라바 텐동</v>
      </c>
      <c r="G41" s="28" t="s">
        <v>131</v>
      </c>
      <c r="H41" s="29" t="str">
        <f>IFERROR(__xludf.DUMMYFUNCTION("IF(G41="""","""",GOOGLETRANSLATE(G41,""ja"",""en""))"),"King crab from Hokkaido, eggplant, and shishito peppers.")</f>
        <v>King crab from Hokkaido, eggplant, and shishito peppers.</v>
      </c>
      <c r="I41" s="29" t="str">
        <f>IFERROR(__xludf.DUMMYFUNCTION("IF(G41="""","""",GOOGLETRANSLATE(G41,""ja"",""ko""))"),"홋카이도산 타라바가니・나스・시시토")</f>
        <v>홋카이도산 타라바가니・나스・시시토</v>
      </c>
      <c r="J41" s="30"/>
      <c r="K41" s="31">
        <v>4800.0</v>
      </c>
      <c r="L41" s="28" t="s">
        <v>36</v>
      </c>
      <c r="M41" s="29" t="str">
        <f>IFERROR(__xludf.DUMMYFUNCTION("IF(L41="""","""",GOOGLETRANSLATE(L41,""ja"",""en""))"),"crab")</f>
        <v>crab</v>
      </c>
      <c r="N41" s="29" t="str">
        <f>IFERROR(__xludf.DUMMYFUNCTION("IF(L41="""","""",GOOGLETRANSLATE(L41,""ja"",""ko""))"),"게")</f>
        <v>게</v>
      </c>
      <c r="O41" s="5"/>
    </row>
    <row r="42" ht="33.75" customHeight="1">
      <c r="A42" s="20"/>
      <c r="B42" s="28" t="s">
        <v>124</v>
      </c>
      <c r="C42" s="32"/>
      <c r="D42" s="28" t="s">
        <v>132</v>
      </c>
      <c r="E42" s="29" t="str">
        <f>IFERROR(__xludf.DUMMYFUNCTION("IF(D42="""","""",GOOGLETRANSLATE(D42,""ja"",""en""))"),"King crab tempura rice bowl")</f>
        <v>King crab tempura rice bowl</v>
      </c>
      <c r="F42" s="29" t="str">
        <f>IFERROR(__xludf.DUMMYFUNCTION("IF(D42="""","""",GOOGLETRANSLATE(D42,""ja"",""ko""))"),"타라바가 텐동")</f>
        <v>타라바가 텐동</v>
      </c>
      <c r="G42" s="28" t="s">
        <v>133</v>
      </c>
      <c r="H42" s="29" t="str">
        <f>IFERROR(__xludf.DUMMYFUNCTION("IF(G42="""","""",GOOGLETRANSLATE(G42,""ja"",""en""))"),"King crab, eggplant, and shishito peppers.")</f>
        <v>King crab, eggplant, and shishito peppers.</v>
      </c>
      <c r="I42" s="29" t="str">
        <f>IFERROR(__xludf.DUMMYFUNCTION("IF(G42="""","""",GOOGLETRANSLATE(G42,""ja"",""ko""))"),"타라바가, 나스, 시시 토")</f>
        <v>타라바가, 나스, 시시 토</v>
      </c>
      <c r="J42" s="30"/>
      <c r="K42" s="31">
        <v>6500.0</v>
      </c>
      <c r="L42" s="28" t="s">
        <v>36</v>
      </c>
      <c r="M42" s="29" t="str">
        <f>IFERROR(__xludf.DUMMYFUNCTION("IF(L42="""","""",GOOGLETRANSLATE(L42,""ja"",""en""))"),"crab")</f>
        <v>crab</v>
      </c>
      <c r="N42" s="29" t="str">
        <f>IFERROR(__xludf.DUMMYFUNCTION("IF(L42="""","""",GOOGLETRANSLATE(L42,""ja"",""ko""))"),"게")</f>
        <v>게</v>
      </c>
      <c r="O42" s="5"/>
    </row>
    <row r="43" ht="33.75" customHeight="1">
      <c r="A43" s="20"/>
      <c r="B43" s="28" t="s">
        <v>124</v>
      </c>
      <c r="C43" s="32"/>
      <c r="D43" s="28" t="s">
        <v>134</v>
      </c>
      <c r="E43" s="29" t="str">
        <f>IFERROR(__xludf.DUMMYFUNCTION("IF(D43="""","""",GOOGLETRANSLATE(D43,""ja"",""en""))"),"Crab and shrimp tempura rice bowl")</f>
        <v>Crab and shrimp tempura rice bowl</v>
      </c>
      <c r="F43" s="29" t="str">
        <f>IFERROR(__xludf.DUMMYFUNCTION("IF(D43="""","""",GOOGLETRANSLATE(D43,""ja"",""ko""))"),"게 새우 텐동")</f>
        <v>게 새우 텐동</v>
      </c>
      <c r="G43" s="28" t="s">
        <v>135</v>
      </c>
      <c r="H43" s="29" t="str">
        <f>IFERROR(__xludf.DUMMYFUNCTION("IF(G43="""","""",GOOGLETRANSLATE(G43,""ja"",""en""))"),"Crab, shrimp, eggplant, shishito peppers")</f>
        <v>Crab, shrimp, eggplant, shishito peppers</v>
      </c>
      <c r="I43" s="29" t="str">
        <f>IFERROR(__xludf.DUMMYFUNCTION("IF(G43="""","""",GOOGLETRANSLATE(G43,""ja"",""ko""))"),"게 · 새우 · 나스 · 시시 토")</f>
        <v>게 · 새우 · 나스 · 시시 토</v>
      </c>
      <c r="J43" s="30"/>
      <c r="K43" s="31">
        <v>3000.0</v>
      </c>
      <c r="L43" s="28" t="s">
        <v>36</v>
      </c>
      <c r="M43" s="29" t="str">
        <f>IFERROR(__xludf.DUMMYFUNCTION("IF(L43="""","""",GOOGLETRANSLATE(L43,""ja"",""en""))"),"crab")</f>
        <v>crab</v>
      </c>
      <c r="N43" s="29" t="str">
        <f>IFERROR(__xludf.DUMMYFUNCTION("IF(L43="""","""",GOOGLETRANSLATE(L43,""ja"",""ko""))"),"게")</f>
        <v>게</v>
      </c>
      <c r="O43" s="5"/>
    </row>
    <row r="44" ht="33.75" customHeight="1">
      <c r="A44" s="20"/>
      <c r="B44" s="28" t="s">
        <v>124</v>
      </c>
      <c r="C44" s="32"/>
      <c r="D44" s="28" t="s">
        <v>136</v>
      </c>
      <c r="E44" s="29" t="str">
        <f>IFERROR(__xludf.DUMMYFUNCTION("IF(D44="""","""",GOOGLETRANSLATE(D44,""ja"",""en""))"),"Mixed Tempura Rice Bowl")</f>
        <v>Mixed Tempura Rice Bowl</v>
      </c>
      <c r="F44" s="29" t="str">
        <f>IFERROR(__xludf.DUMMYFUNCTION("IF(D44="""","""",GOOGLETRANSLATE(D44,""ja"",""ko""))"),"믹스 텐동")</f>
        <v>믹스 텐동</v>
      </c>
      <c r="G44" s="28" t="s">
        <v>137</v>
      </c>
      <c r="H44" s="29" t="str">
        <f>IFERROR(__xludf.DUMMYFUNCTION("IF(G44="""","""",GOOGLETRANSLATE(G44,""ja"",""en""))"),"Crab, shrimp, scallops, salmon, eggplant, shishito peppers")</f>
        <v>Crab, shrimp, scallops, salmon, eggplant, shishito peppers</v>
      </c>
      <c r="I44" s="29" t="str">
        <f>IFERROR(__xludf.DUMMYFUNCTION("IF(G44="""","""",GOOGLETRANSLATE(G44,""ja"",""ko""))"),"게 · 새우 · 호타테 · 연어 · 나스 · 시시 토")</f>
        <v>게 · 새우 · 호타테 · 연어 · 나스 · 시시 토</v>
      </c>
      <c r="J44" s="30"/>
      <c r="K44" s="31">
        <v>2000.0</v>
      </c>
      <c r="L44" s="28" t="s">
        <v>67</v>
      </c>
      <c r="M44" s="29" t="str">
        <f>IFERROR(__xludf.DUMMYFUNCTION("IF(L44="""","""",GOOGLETRANSLATE(L44,""ja"",""en""))"),"Crab, shrimp, salmon")</f>
        <v>Crab, shrimp, salmon</v>
      </c>
      <c r="N44" s="29" t="str">
        <f>IFERROR(__xludf.DUMMYFUNCTION("IF(L44="""","""",GOOGLETRANSLATE(L44,""ja"",""ko""))"),"게, 새우, 연어")</f>
        <v>게, 새우, 연어</v>
      </c>
      <c r="O44" s="5"/>
    </row>
    <row r="45" ht="33.75" customHeight="1">
      <c r="A45" s="20"/>
      <c r="B45" s="28" t="s">
        <v>138</v>
      </c>
      <c r="C45" s="32"/>
      <c r="D45" s="28" t="s">
        <v>139</v>
      </c>
      <c r="E45" s="29" t="str">
        <f>IFERROR(__xludf.DUMMYFUNCTION("IF(D45="""","""",GOOGLETRANSLATE(D45,""ja"",""en""))"),"Crab futomaki sushi")</f>
        <v>Crab futomaki sushi</v>
      </c>
      <c r="F45" s="29" t="str">
        <f>IFERROR(__xludf.DUMMYFUNCTION("IF(D45="""","""",GOOGLETRANSLATE(D45,""ja"",""ko""))"),"게타마키 스시")</f>
        <v>게타마키 스시</v>
      </c>
      <c r="G45" s="28" t="s">
        <v>140</v>
      </c>
      <c r="H45" s="29" t="str">
        <f>IFERROR(__xludf.DUMMYFUNCTION("IF(G45="""","""",GOOGLETRANSLATE(G45,""ja"",""en""))"),"Crab and mayonnaise")</f>
        <v>Crab and mayonnaise</v>
      </c>
      <c r="I45" s="29" t="str">
        <f>IFERROR(__xludf.DUMMYFUNCTION("IF(G45="""","""",GOOGLETRANSLATE(G45,""ja"",""ko""))"),"게 · 마요네즈")</f>
        <v>게 · 마요네즈</v>
      </c>
      <c r="J45" s="30"/>
      <c r="K45" s="31">
        <v>1100.0</v>
      </c>
      <c r="L45" s="28" t="s">
        <v>141</v>
      </c>
      <c r="M45" s="29" t="str">
        <f>IFERROR(__xludf.DUMMYFUNCTION("IF(L45="""","""",GOOGLETRANSLATE(L45,""ja"",""en""))"),"Crab and eggs")</f>
        <v>Crab and eggs</v>
      </c>
      <c r="N45" s="29" t="str">
        <f>IFERROR(__xludf.DUMMYFUNCTION("IF(L45="""","""",GOOGLETRANSLATE(L45,""ja"",""ko""))"),"게 · 계란")</f>
        <v>게 · 계란</v>
      </c>
      <c r="O45" s="5"/>
    </row>
    <row r="46" ht="33.75" customHeight="1">
      <c r="A46" s="20"/>
      <c r="B46" s="28" t="s">
        <v>138</v>
      </c>
      <c r="C46" s="32"/>
      <c r="D46" s="28" t="s">
        <v>142</v>
      </c>
      <c r="E46" s="29" t="str">
        <f>IFERROR(__xludf.DUMMYFUNCTION("IF(D46="""","""",GOOGLETRANSLATE(D46,""ja"",""en""))"),"Assorted sushi featuring king crab from Hokkaido")</f>
        <v>Assorted sushi featuring king crab from Hokkaido</v>
      </c>
      <c r="F46" s="29" t="str">
        <f>IFERROR(__xludf.DUMMYFUNCTION("IF(D46="""","""",GOOGLETRANSLATE(D46,""ja"",""ko""))"),"홋카이도산 타라바가 스시 모듬")</f>
        <v>홋카이도산 타라바가 스시 모듬</v>
      </c>
      <c r="G46" s="28" t="s">
        <v>143</v>
      </c>
      <c r="H46" s="29" t="str">
        <f>IFERROR(__xludf.DUMMYFUNCTION("IF(G46="""","""",GOOGLETRANSLATE(G46,""ja"",""en""))"),"King crab, crab, mayonnaise")</f>
        <v>King crab, crab, mayonnaise</v>
      </c>
      <c r="I46" s="29" t="str">
        <f>IFERROR(__xludf.DUMMYFUNCTION("IF(G46="""","""",GOOGLETRANSLATE(G46,""ja"",""ko""))"),"타라바가 · 게 · 마요네즈")</f>
        <v>타라바가 · 게 · 마요네즈</v>
      </c>
      <c r="J46" s="30"/>
      <c r="K46" s="31">
        <v>3000.0</v>
      </c>
      <c r="L46" s="28" t="s">
        <v>141</v>
      </c>
      <c r="M46" s="29" t="str">
        <f>IFERROR(__xludf.DUMMYFUNCTION("IF(L46="""","""",GOOGLETRANSLATE(L46,""ja"",""en""))"),"Crab and eggs")</f>
        <v>Crab and eggs</v>
      </c>
      <c r="N46" s="29" t="str">
        <f>IFERROR(__xludf.DUMMYFUNCTION("IF(L46="""","""",GOOGLETRANSLATE(L46,""ja"",""ko""))"),"게 · 계란")</f>
        <v>게 · 계란</v>
      </c>
      <c r="O46" s="5"/>
    </row>
    <row r="47" ht="33.75" customHeight="1">
      <c r="A47" s="20"/>
      <c r="B47" s="28" t="s">
        <v>138</v>
      </c>
      <c r="C47" s="32"/>
      <c r="D47" s="28" t="s">
        <v>144</v>
      </c>
      <c r="E47" s="29" t="str">
        <f>IFERROR(__xludf.DUMMYFUNCTION("IF(D47="""","""",GOOGLETRANSLATE(D47,""ja"",""en""))"),"King crab pressed sushi from Hokkaido")</f>
        <v>King crab pressed sushi from Hokkaido</v>
      </c>
      <c r="F47" s="29" t="str">
        <f>IFERROR(__xludf.DUMMYFUNCTION("IF(D47="""","""",GOOGLETRANSLATE(D47,""ja"",""ko""))"),"홋카이도산 타라바 게오시 스시")</f>
        <v>홋카이도산 타라바 게오시 스시</v>
      </c>
      <c r="G47" s="28" t="s">
        <v>145</v>
      </c>
      <c r="H47" s="29" t="str">
        <f>IFERROR(__xludf.DUMMYFUNCTION("IF(G47="""","""",GOOGLETRANSLATE(G47,""ja"",""en""))"),"King crab, crab, mayonnaise, perilla leaf")</f>
        <v>King crab, crab, mayonnaise, perilla leaf</v>
      </c>
      <c r="I47" s="29" t="str">
        <f>IFERROR(__xludf.DUMMYFUNCTION("IF(G47="""","""",GOOGLETRANSLATE(G47,""ja"",""ko""))"),"타라바가 · 게 · 마요네즈 · 오바")</f>
        <v>타라바가 · 게 · 마요네즈 · 오바</v>
      </c>
      <c r="J47" s="30"/>
      <c r="K47" s="31">
        <v>2200.0</v>
      </c>
      <c r="L47" s="28" t="s">
        <v>141</v>
      </c>
      <c r="M47" s="29" t="str">
        <f>IFERROR(__xludf.DUMMYFUNCTION("IF(L47="""","""",GOOGLETRANSLATE(L47,""ja"",""en""))"),"Crab and eggs")</f>
        <v>Crab and eggs</v>
      </c>
      <c r="N47" s="29" t="str">
        <f>IFERROR(__xludf.DUMMYFUNCTION("IF(L47="""","""",GOOGLETRANSLATE(L47,""ja"",""ko""))"),"게 · 계란")</f>
        <v>게 · 계란</v>
      </c>
      <c r="O47" s="5"/>
    </row>
    <row r="48" ht="33.75" customHeight="1">
      <c r="A48" s="20"/>
      <c r="B48" s="28" t="s">
        <v>138</v>
      </c>
      <c r="C48" s="32"/>
      <c r="D48" s="28" t="s">
        <v>146</v>
      </c>
      <c r="E48" s="29" t="str">
        <f>IFERROR(__xludf.DUMMYFUNCTION("IF(D48="""","""",GOOGLETRANSLATE(D48,""ja"",""en""))"),"Snow crab and seafood roll (4 rolls)")</f>
        <v>Snow crab and seafood roll (4 rolls)</v>
      </c>
      <c r="F48" s="29" t="str">
        <f>IFERROR(__xludf.DUMMYFUNCTION("IF(D48="""","""",GOOGLETRANSLATE(D48,""ja"",""ko""))"),"즈와이 해물 감기(4권)")</f>
        <v>즈와이 해물 감기(4권)</v>
      </c>
      <c r="G48" s="28" t="s">
        <v>147</v>
      </c>
      <c r="H48" s="29" t="str">
        <f>IFERROR(__xludf.DUMMYFUNCTION("IF(G48="""","""",GOOGLETRANSLATE(G48,""ja"",""en""))"),"Snow crab, egg, salmon roe, crab, cucumber")</f>
        <v>Snow crab, egg, salmon roe, crab, cucumber</v>
      </c>
      <c r="I48" s="29" t="str">
        <f>IFERROR(__xludf.DUMMYFUNCTION("IF(G48="""","""",GOOGLETRANSLATE(G48,""ja"",""ko""))"),"대게, 계란, 얼마, 게, 오이")</f>
        <v>대게, 계란, 얼마, 게, 오이</v>
      </c>
      <c r="J48" s="30"/>
      <c r="K48" s="31">
        <v>3300.0</v>
      </c>
      <c r="L48" s="28" t="s">
        <v>148</v>
      </c>
      <c r="M48" s="29" t="str">
        <f>IFERROR(__xludf.DUMMYFUNCTION("IF(L48="""","""",GOOGLETRANSLATE(L48,""ja"",""en""))"),"Crab, salmon roe, egg")</f>
        <v>Crab, salmon roe, egg</v>
      </c>
      <c r="N48" s="29" t="str">
        <f>IFERROR(__xludf.DUMMYFUNCTION("IF(L48="""","""",GOOGLETRANSLATE(L48,""ja"",""ko""))"),"게 · 얼마 · 계란")</f>
        <v>게 · 얼마 · 계란</v>
      </c>
      <c r="O48" s="5"/>
    </row>
    <row r="49" ht="33.75" customHeight="1">
      <c r="A49" s="20"/>
      <c r="B49" s="28" t="s">
        <v>138</v>
      </c>
      <c r="C49" s="32"/>
      <c r="D49" s="28" t="s">
        <v>149</v>
      </c>
      <c r="E49" s="29" t="str">
        <f>IFERROR(__xludf.DUMMYFUNCTION("IF(D49="""","""",GOOGLETRANSLATE(D49,""ja"",""en""))"),"Snow crab and seafood roll (8 rolls)")</f>
        <v>Snow crab and seafood roll (8 rolls)</v>
      </c>
      <c r="F49" s="29" t="str">
        <f>IFERROR(__xludf.DUMMYFUNCTION("IF(D49="""","""",GOOGLETRANSLATE(D49,""ja"",""ko""))"),"즈와이 해물 감기(8권)")</f>
        <v>즈와이 해물 감기(8권)</v>
      </c>
      <c r="G49" s="28" t="s">
        <v>147</v>
      </c>
      <c r="H49" s="29" t="str">
        <f>IFERROR(__xludf.DUMMYFUNCTION("IF(G49="""","""",GOOGLETRANSLATE(G49,""ja"",""en""))"),"Snow crab, egg, salmon roe, crab, cucumber")</f>
        <v>Snow crab, egg, salmon roe, crab, cucumber</v>
      </c>
      <c r="I49" s="29" t="str">
        <f>IFERROR(__xludf.DUMMYFUNCTION("IF(G49="""","""",GOOGLETRANSLATE(G49,""ja"",""ko""))"),"대게, 계란, 얼마, 게, 오이")</f>
        <v>대게, 계란, 얼마, 게, 오이</v>
      </c>
      <c r="J49" s="30"/>
      <c r="K49" s="31">
        <v>5500.0</v>
      </c>
      <c r="L49" s="28" t="s">
        <v>148</v>
      </c>
      <c r="M49" s="29" t="str">
        <f>IFERROR(__xludf.DUMMYFUNCTION("IF(L49="""","""",GOOGLETRANSLATE(L49,""ja"",""en""))"),"Crab, salmon roe, egg")</f>
        <v>Crab, salmon roe, egg</v>
      </c>
      <c r="N49" s="29" t="str">
        <f>IFERROR(__xludf.DUMMYFUNCTION("IF(L49="""","""",GOOGLETRANSLATE(L49,""ja"",""ko""))"),"게 · 얼마 · 계란")</f>
        <v>게 · 얼마 · 계란</v>
      </c>
      <c r="O49" s="5"/>
    </row>
    <row r="50" ht="33.75" customHeight="1">
      <c r="A50" s="20"/>
      <c r="B50" s="28" t="s">
        <v>138</v>
      </c>
      <c r="C50" s="32"/>
      <c r="D50" s="28" t="s">
        <v>150</v>
      </c>
      <c r="E50" s="29" t="str">
        <f>IFERROR(__xludf.DUMMYFUNCTION("IF(D50="""","""",GOOGLETRANSLATE(D50,""ja"",""en""))"),"King Crab Roll (4 rolls)")</f>
        <v>King Crab Roll (4 rolls)</v>
      </c>
      <c r="F50" s="29" t="str">
        <f>IFERROR(__xludf.DUMMYFUNCTION("IF(D50="""","""",GOOGLETRANSLATE(D50,""ja"",""ko""))"),"타라바 호쾌 감기(4권)")</f>
        <v>타라바 호쾌 감기(4권)</v>
      </c>
      <c r="G50" s="28" t="s">
        <v>151</v>
      </c>
      <c r="H50" s="29" t="str">
        <f>IFERROR(__xludf.DUMMYFUNCTION("IF(G50="""","""",GOOGLETRANSLATE(G50,""ja"",""en""))"),"King crab, egg, salmon roe, crab, cucumber")</f>
        <v>King crab, egg, salmon roe, crab, cucumber</v>
      </c>
      <c r="I50" s="29" t="str">
        <f>IFERROR(__xludf.DUMMYFUNCTION("IF(G50="""","""",GOOGLETRANSLATE(G50,""ja"",""ko""))"),"타라바 게 · 계란 · 아무리 · 게 · 오이")</f>
        <v>타라바 게 · 계란 · 아무리 · 게 · 오이</v>
      </c>
      <c r="J50" s="30"/>
      <c r="K50" s="31">
        <v>6600.0</v>
      </c>
      <c r="L50" s="28" t="s">
        <v>148</v>
      </c>
      <c r="M50" s="29" t="str">
        <f>IFERROR(__xludf.DUMMYFUNCTION("IF(L50="""","""",GOOGLETRANSLATE(L50,""ja"",""en""))"),"Crab, salmon roe, egg")</f>
        <v>Crab, salmon roe, egg</v>
      </c>
      <c r="N50" s="29" t="str">
        <f>IFERROR(__xludf.DUMMYFUNCTION("IF(L50="""","""",GOOGLETRANSLATE(L50,""ja"",""ko""))"),"게 · 얼마 · 계란")</f>
        <v>게 · 얼마 · 계란</v>
      </c>
      <c r="O50" s="5"/>
    </row>
    <row r="51" ht="33.75" customHeight="1">
      <c r="A51" s="20"/>
      <c r="B51" s="28" t="s">
        <v>138</v>
      </c>
      <c r="C51" s="32"/>
      <c r="D51" s="28" t="s">
        <v>152</v>
      </c>
      <c r="E51" s="29" t="str">
        <f>IFERROR(__xludf.DUMMYFUNCTION("IF(D51="""","""",GOOGLETRANSLATE(D51,""ja"",""en""))"),"King Crab Roll (8 rolls)")</f>
        <v>King Crab Roll (8 rolls)</v>
      </c>
      <c r="F51" s="29" t="str">
        <f>IFERROR(__xludf.DUMMYFUNCTION("IF(D51="""","""",GOOGLETRANSLATE(D51,""ja"",""ko""))"),"타라바 호쾌 감기(8권)")</f>
        <v>타라바 호쾌 감기(8권)</v>
      </c>
      <c r="G51" s="28" t="s">
        <v>151</v>
      </c>
      <c r="H51" s="29" t="str">
        <f>IFERROR(__xludf.DUMMYFUNCTION("IF(G51="""","""",GOOGLETRANSLATE(G51,""ja"",""en""))"),"King crab, egg, salmon roe, crab, cucumber")</f>
        <v>King crab, egg, salmon roe, crab, cucumber</v>
      </c>
      <c r="I51" s="29" t="str">
        <f>IFERROR(__xludf.DUMMYFUNCTION("IF(G51="""","""",GOOGLETRANSLATE(G51,""ja"",""ko""))"),"타라바 게 · 계란 · 아무리 · 게 · 오이")</f>
        <v>타라바 게 · 계란 · 아무리 · 게 · 오이</v>
      </c>
      <c r="J51" s="30"/>
      <c r="K51" s="31">
        <v>11000.0</v>
      </c>
      <c r="L51" s="28" t="s">
        <v>148</v>
      </c>
      <c r="M51" s="29" t="str">
        <f>IFERROR(__xludf.DUMMYFUNCTION("IF(L51="""","""",GOOGLETRANSLATE(L51,""ja"",""en""))"),"Crab, salmon roe, egg")</f>
        <v>Crab, salmon roe, egg</v>
      </c>
      <c r="N51" s="29" t="str">
        <f>IFERROR(__xludf.DUMMYFUNCTION("IF(L51="""","""",GOOGLETRANSLATE(L51,""ja"",""ko""))"),"게 · 얼마 · 계란")</f>
        <v>게 · 얼마 · 계란</v>
      </c>
      <c r="O51" s="5"/>
    </row>
    <row r="52" ht="33.75" customHeight="1">
      <c r="A52" s="20"/>
      <c r="B52" s="28" t="s">
        <v>153</v>
      </c>
      <c r="C52" s="32"/>
      <c r="D52" s="28" t="s">
        <v>154</v>
      </c>
      <c r="E52" s="29" t="str">
        <f>IFERROR(__xludf.DUMMYFUNCTION("IF(D52="""","""",GOOGLETRANSLATE(D52,""ja"",""en""))"),"Crab Miso Butter Ramen")</f>
        <v>Crab Miso Butter Ramen</v>
      </c>
      <c r="F52" s="29" t="str">
        <f>IFERROR(__xludf.DUMMYFUNCTION("IF(D52="""","""",GOOGLETRANSLATE(D52,""ja"",""ko""))"),"게 된장 버터라면")</f>
        <v>게 된장 버터라면</v>
      </c>
      <c r="G52" s="28" t="s">
        <v>155</v>
      </c>
      <c r="H52" s="29" t="str">
        <f>IFERROR(__xludf.DUMMYFUNCTION("IF(G52="""","""",GOOGLETRANSLATE(G52,""ja"",""en""))"),"Crab, miso, butter, green onions, seaweed")</f>
        <v>Crab, miso, butter, green onions, seaweed</v>
      </c>
      <c r="I52" s="29" t="str">
        <f>IFERROR(__xludf.DUMMYFUNCTION("IF(G52="""","""",GOOGLETRANSLATE(G52,""ja"",""ko""))"),"게, 된장, 버터, 파, 미역")</f>
        <v>게, 된장, 버터, 파, 미역</v>
      </c>
      <c r="J52" s="30"/>
      <c r="K52" s="31">
        <v>2200.0</v>
      </c>
      <c r="L52" s="28" t="s">
        <v>36</v>
      </c>
      <c r="M52" s="29" t="str">
        <f>IFERROR(__xludf.DUMMYFUNCTION("IF(L52="""","""",GOOGLETRANSLATE(L52,""ja"",""en""))"),"crab")</f>
        <v>crab</v>
      </c>
      <c r="N52" s="29" t="str">
        <f>IFERROR(__xludf.DUMMYFUNCTION("IF(L52="""","""",GOOGLETRANSLATE(L52,""ja"",""ko""))"),"게")</f>
        <v>게</v>
      </c>
      <c r="O52" s="5"/>
    </row>
    <row r="53" ht="33.75" customHeight="1">
      <c r="A53" s="20"/>
      <c r="B53" s="28" t="s">
        <v>153</v>
      </c>
      <c r="C53" s="32"/>
      <c r="D53" s="28" t="s">
        <v>156</v>
      </c>
      <c r="E53" s="29" t="str">
        <f>IFERROR(__xludf.DUMMYFUNCTION("IF(D53="""","""",GOOGLETRANSLATE(D53,""ja"",""en""))"),"Special Crab Miso Butter Ramen")</f>
        <v>Special Crab Miso Butter Ramen</v>
      </c>
      <c r="F53" s="29" t="str">
        <f>IFERROR(__xludf.DUMMYFUNCTION("IF(D53="""","""",GOOGLETRANSLATE(D53,""ja"",""ko""))"),"스페셜 게 된장 버터라면")</f>
        <v>스페셜 게 된장 버터라면</v>
      </c>
      <c r="G53" s="28" t="s">
        <v>155</v>
      </c>
      <c r="H53" s="29" t="str">
        <f>IFERROR(__xludf.DUMMYFUNCTION("IF(G53="""","""",GOOGLETRANSLATE(G53,""ja"",""en""))"),"Crab, miso, butter, green onions, seaweed")</f>
        <v>Crab, miso, butter, green onions, seaweed</v>
      </c>
      <c r="I53" s="29" t="str">
        <f>IFERROR(__xludf.DUMMYFUNCTION("IF(G53="""","""",GOOGLETRANSLATE(G53,""ja"",""ko""))"),"게, 된장, 버터, 파, 미역")</f>
        <v>게, 된장, 버터, 파, 미역</v>
      </c>
      <c r="J53" s="30"/>
      <c r="K53" s="31">
        <v>4500.0</v>
      </c>
      <c r="L53" s="28" t="s">
        <v>36</v>
      </c>
      <c r="M53" s="29" t="str">
        <f>IFERROR(__xludf.DUMMYFUNCTION("IF(L53="""","""",GOOGLETRANSLATE(L53,""ja"",""en""))"),"crab")</f>
        <v>crab</v>
      </c>
      <c r="N53" s="29" t="str">
        <f>IFERROR(__xludf.DUMMYFUNCTION("IF(L53="""","""",GOOGLETRANSLATE(L53,""ja"",""ko""))"),"게")</f>
        <v>게</v>
      </c>
      <c r="O53" s="5"/>
    </row>
    <row r="54" ht="33.75" customHeight="1">
      <c r="A54" s="20"/>
      <c r="B54" s="28" t="s">
        <v>153</v>
      </c>
      <c r="C54" s="32"/>
      <c r="D54" s="28" t="s">
        <v>157</v>
      </c>
      <c r="E54" s="29" t="str">
        <f>IFERROR(__xludf.DUMMYFUNCTION("IF(D54="""","""",GOOGLETRANSLATE(D54,""ja"",""en""))"),"Crab broth sauce rice bowl")</f>
        <v>Crab broth sauce rice bowl</v>
      </c>
      <c r="F54" s="29" t="str">
        <f>IFERROR(__xludf.DUMMYFUNCTION("IF(D54="""","""",GOOGLETRANSLATE(D54,""ja"",""ko""))"),"게 국물 앙케 덮밥")</f>
        <v>게 국물 앙케 덮밥</v>
      </c>
      <c r="G54" s="28" t="s">
        <v>158</v>
      </c>
      <c r="H54" s="29" t="str">
        <f>IFERROR(__xludf.DUMMYFUNCTION("IF(G54="""","""",GOOGLETRANSLATE(G54,""ja"",""en""))"),"Crab and green onions")</f>
        <v>Crab and green onions</v>
      </c>
      <c r="I54" s="29" t="str">
        <f>IFERROR(__xludf.DUMMYFUNCTION("IF(G54="""","""",GOOGLETRANSLATE(G54,""ja"",""ko""))"),"게 · 파")</f>
        <v>게 · 파</v>
      </c>
      <c r="J54" s="30"/>
      <c r="K54" s="31">
        <v>2200.0</v>
      </c>
      <c r="L54" s="28" t="s">
        <v>36</v>
      </c>
      <c r="M54" s="29" t="str">
        <f>IFERROR(__xludf.DUMMYFUNCTION("IF(L54="""","""",GOOGLETRANSLATE(L54,""ja"",""en""))"),"crab")</f>
        <v>crab</v>
      </c>
      <c r="N54" s="29" t="str">
        <f>IFERROR(__xludf.DUMMYFUNCTION("IF(L54="""","""",GOOGLETRANSLATE(L54,""ja"",""ko""))"),"게")</f>
        <v>게</v>
      </c>
      <c r="O54" s="5"/>
    </row>
    <row r="55" ht="33.75" customHeight="1">
      <c r="A55" s="20"/>
      <c r="B55" s="28" t="s">
        <v>153</v>
      </c>
      <c r="C55" s="32"/>
      <c r="D55" s="28" t="s">
        <v>159</v>
      </c>
      <c r="E55" s="29" t="str">
        <f>IFERROR(__xludf.DUMMYFUNCTION("IF(D55="""","""",GOOGLETRANSLATE(D55,""ja"",""en""))"),"Eel bowl")</f>
        <v>Eel bowl</v>
      </c>
      <c r="F55" s="29" t="str">
        <f>IFERROR(__xludf.DUMMYFUNCTION("IF(D55="""","""",GOOGLETRANSLATE(D55,""ja"",""ko""))"),"장어 덮밥")</f>
        <v>장어 덮밥</v>
      </c>
      <c r="G55" s="28" t="s">
        <v>160</v>
      </c>
      <c r="H55" s="29" t="str">
        <f>IFERROR(__xludf.DUMMYFUNCTION("IF(G55="""","""",GOOGLETRANSLATE(G55,""ja"",""en""))"),"eel")</f>
        <v>eel</v>
      </c>
      <c r="I55" s="29" t="str">
        <f>IFERROR(__xludf.DUMMYFUNCTION("IF(G55="""","""",GOOGLETRANSLATE(G55,""ja"",""ko""))"),"장어")</f>
        <v>장어</v>
      </c>
      <c r="J55" s="30"/>
      <c r="K55" s="31">
        <v>3300.0</v>
      </c>
      <c r="L55" s="5"/>
      <c r="M55" s="29" t="str">
        <f>IFERROR(__xludf.DUMMYFUNCTION("IF(L55="""","""",GOOGLETRANSLATE(L55,""ja"",""en""))"),"")</f>
        <v/>
      </c>
      <c r="N55" s="29" t="str">
        <f>IFERROR(__xludf.DUMMYFUNCTION("IF(L55="""","""",GOOGLETRANSLATE(L55,""ja"",""ko""))"),"")</f>
        <v/>
      </c>
      <c r="O55" s="5"/>
    </row>
    <row r="56" ht="33.75" customHeight="1">
      <c r="A56" s="20"/>
      <c r="B56" s="28" t="s">
        <v>161</v>
      </c>
      <c r="C56" s="32"/>
      <c r="D56" s="28" t="s">
        <v>162</v>
      </c>
      <c r="E56" s="29" t="str">
        <f>IFERROR(__xludf.DUMMYFUNCTION("IF(D56="""","""",GOOGLETRANSLATE(D56,""ja"",""en""))"),"Red salmon roe in soy sauce")</f>
        <v>Red salmon roe in soy sauce</v>
      </c>
      <c r="F56" s="29" t="str">
        <f>IFERROR(__xludf.DUMMYFUNCTION("IF(D56="""","""",GOOGLETRANSLATE(D56,""ja"",""ko""))"),"홍연어 이쿠라 간장")</f>
        <v>홍연어 이쿠라 간장</v>
      </c>
      <c r="G56" s="28" t="s">
        <v>51</v>
      </c>
      <c r="H56" s="29" t="str">
        <f>IFERROR(__xludf.DUMMYFUNCTION("IF(G56="""","""",GOOGLETRANSLATE(G56,""ja"",""en""))"),"how much")</f>
        <v>how much</v>
      </c>
      <c r="I56" s="29" t="str">
        <f>IFERROR(__xludf.DUMMYFUNCTION("IF(G56="""","""",GOOGLETRANSLATE(G56,""ja"",""ko""))"),"아무리")</f>
        <v>아무리</v>
      </c>
      <c r="J56" s="30"/>
      <c r="K56" s="31">
        <v>1300.0</v>
      </c>
      <c r="L56" s="28" t="s">
        <v>51</v>
      </c>
      <c r="M56" s="29" t="str">
        <f>IFERROR(__xludf.DUMMYFUNCTION("IF(L56="""","""",GOOGLETRANSLATE(L56,""ja"",""en""))"),"how much")</f>
        <v>how much</v>
      </c>
      <c r="N56" s="29" t="str">
        <f>IFERROR(__xludf.DUMMYFUNCTION("IF(L56="""","""",GOOGLETRANSLATE(L56,""ja"",""ko""))"),"아무리")</f>
        <v>아무리</v>
      </c>
      <c r="O56" s="5"/>
    </row>
    <row r="57" ht="33.75" customHeight="1">
      <c r="A57" s="20"/>
      <c r="B57" s="28" t="s">
        <v>161</v>
      </c>
      <c r="C57" s="32"/>
      <c r="D57" s="28" t="s">
        <v>163</v>
      </c>
      <c r="E57" s="29" t="str">
        <f>IFERROR(__xludf.DUMMYFUNCTION("IF(D57="""","""",GOOGLETRANSLATE(D57,""ja"",""en""))"),"Crab miso")</f>
        <v>Crab miso</v>
      </c>
      <c r="F57" s="29" t="str">
        <f>IFERROR(__xludf.DUMMYFUNCTION("IF(D57="""","""",GOOGLETRANSLATE(D57,""ja"",""ko""))"),"게 미소")</f>
        <v>게 미소</v>
      </c>
      <c r="G57" s="28" t="s">
        <v>164</v>
      </c>
      <c r="H57" s="29" t="str">
        <f>IFERROR(__xludf.DUMMYFUNCTION("IF(G57="""","""",GOOGLETRANSLATE(G57,""ja"",""en""))"),"Crab and crab miso")</f>
        <v>Crab and crab miso</v>
      </c>
      <c r="I57" s="29" t="str">
        <f>IFERROR(__xludf.DUMMYFUNCTION("IF(G57="""","""",GOOGLETRANSLATE(G57,""ja"",""ko""))"),"게 · 게 미소")</f>
        <v>게 · 게 미소</v>
      </c>
      <c r="J57" s="30"/>
      <c r="K57" s="31">
        <v>500.0</v>
      </c>
      <c r="L57" s="28" t="s">
        <v>36</v>
      </c>
      <c r="M57" s="29" t="str">
        <f>IFERROR(__xludf.DUMMYFUNCTION("IF(L57="""","""",GOOGLETRANSLATE(L57,""ja"",""en""))"),"crab")</f>
        <v>crab</v>
      </c>
      <c r="N57" s="29" t="str">
        <f>IFERROR(__xludf.DUMMYFUNCTION("IF(L57="""","""",GOOGLETRANSLATE(L57,""ja"",""ko""))"),"게")</f>
        <v>게</v>
      </c>
      <c r="O57" s="5"/>
    </row>
    <row r="58" ht="33.75" customHeight="1">
      <c r="A58" s="20"/>
      <c r="B58" s="28" t="s">
        <v>161</v>
      </c>
      <c r="C58" s="32"/>
      <c r="D58" s="28" t="s">
        <v>165</v>
      </c>
      <c r="E58" s="29" t="str">
        <f>IFERROR(__xludf.DUMMYFUNCTION("IF(D58="""","""",GOOGLETRANSLATE(D58,""ja"",""en""))"),"Seared scallops")</f>
        <v>Seared scallops</v>
      </c>
      <c r="F58" s="29" t="str">
        <f>IFERROR(__xludf.DUMMYFUNCTION("IF(D58="""","""",GOOGLETRANSLATE(D58,""ja"",""ko""))"),"볶은 가리비")</f>
        <v>볶은 가리비</v>
      </c>
      <c r="G58" s="28" t="s">
        <v>166</v>
      </c>
      <c r="H58" s="29" t="str">
        <f>IFERROR(__xludf.DUMMYFUNCTION("IF(G58="""","""",GOOGLETRANSLATE(G58,""ja"",""en""))"),"Scallops")</f>
        <v>Scallops</v>
      </c>
      <c r="I58" s="29" t="str">
        <f>IFERROR(__xludf.DUMMYFUNCTION("IF(G58="""","""",GOOGLETRANSLATE(G58,""ja"",""ko""))"),"호타테")</f>
        <v>호타테</v>
      </c>
      <c r="J58" s="30"/>
      <c r="K58" s="31">
        <v>770.0</v>
      </c>
      <c r="L58" s="5"/>
      <c r="M58" s="29" t="str">
        <f>IFERROR(__xludf.DUMMYFUNCTION("IF(L58="""","""",GOOGLETRANSLATE(L58,""ja"",""en""))"),"")</f>
        <v/>
      </c>
      <c r="N58" s="29" t="str">
        <f>IFERROR(__xludf.DUMMYFUNCTION("IF(L58="""","""",GOOGLETRANSLATE(L58,""ja"",""ko""))"),"")</f>
        <v/>
      </c>
      <c r="O58" s="5"/>
    </row>
    <row r="59" ht="33.75" customHeight="1">
      <c r="A59" s="20"/>
      <c r="B59" s="28" t="s">
        <v>161</v>
      </c>
      <c r="C59" s="32"/>
      <c r="D59" s="28" t="s">
        <v>167</v>
      </c>
      <c r="E59" s="29" t="str">
        <f>IFERROR(__xludf.DUMMYFUNCTION("IF(D59="""","""",GOOGLETRANSLATE(D59,""ja"",""en""))"),"Crab claws as a snack")</f>
        <v>Crab claws as a snack</v>
      </c>
      <c r="F59" s="29" t="str">
        <f>IFERROR(__xludf.DUMMYFUNCTION("IF(D59="""","""",GOOGLETRANSLATE(D59,""ja"",""ko""))"),"안주 게 손톱")</f>
        <v>안주 게 손톱</v>
      </c>
      <c r="G59" s="28" t="s">
        <v>168</v>
      </c>
      <c r="H59" s="29" t="str">
        <f>IFERROR(__xludf.DUMMYFUNCTION("IF(G59="""","""",GOOGLETRANSLATE(G59,""ja"",""en""))"),"Crab claws")</f>
        <v>Crab claws</v>
      </c>
      <c r="I59" s="29" t="str">
        <f>IFERROR(__xludf.DUMMYFUNCTION("IF(G59="""","""",GOOGLETRANSLATE(G59,""ja"",""ko""))"),"게 손톱")</f>
        <v>게 손톱</v>
      </c>
      <c r="J59" s="30"/>
      <c r="K59" s="31">
        <v>330.0</v>
      </c>
      <c r="L59" s="5"/>
      <c r="M59" s="29" t="str">
        <f>IFERROR(__xludf.DUMMYFUNCTION("IF(L59="""","""",GOOGLETRANSLATE(L59,""ja"",""en""))"),"")</f>
        <v/>
      </c>
      <c r="N59" s="29" t="str">
        <f>IFERROR(__xludf.DUMMYFUNCTION("IF(L59="""","""",GOOGLETRANSLATE(L59,""ja"",""ko""))"),"")</f>
        <v/>
      </c>
      <c r="O59" s="5"/>
    </row>
    <row r="60" ht="33.75" customHeight="1">
      <c r="A60" s="20"/>
      <c r="B60" s="28" t="s">
        <v>161</v>
      </c>
      <c r="C60" s="32"/>
      <c r="D60" s="28" t="s">
        <v>169</v>
      </c>
      <c r="E60" s="29" t="str">
        <f>IFERROR(__xludf.DUMMYFUNCTION("IF(D60="""","""",GOOGLETRANSLATE(D60,""ja"",""en""))"),"Crab flakes")</f>
        <v>Crab flakes</v>
      </c>
      <c r="F60" s="29" t="str">
        <f>IFERROR(__xludf.DUMMYFUNCTION("IF(D60="""","""",GOOGLETRANSLATE(D60,""ja"",""ko""))"),"게 플레이크")</f>
        <v>게 플레이크</v>
      </c>
      <c r="G60" s="28" t="s">
        <v>170</v>
      </c>
      <c r="H60" s="29" t="str">
        <f>IFERROR(__xludf.DUMMYFUNCTION("IF(G60="""","""",GOOGLETRANSLATE(G60,""ja"",""en""))"),"Crab flakes")</f>
        <v>Crab flakes</v>
      </c>
      <c r="I60" s="29" t="str">
        <f>IFERROR(__xludf.DUMMYFUNCTION("IF(G60="""","""",GOOGLETRANSLATE(G60,""ja"",""ko""))"),"게 플레이크")</f>
        <v>게 플레이크</v>
      </c>
      <c r="J60" s="30"/>
      <c r="K60" s="31">
        <v>250.0</v>
      </c>
      <c r="L60" s="28" t="s">
        <v>36</v>
      </c>
      <c r="M60" s="29" t="str">
        <f>IFERROR(__xludf.DUMMYFUNCTION("IF(L60="""","""",GOOGLETRANSLATE(L60,""ja"",""en""))"),"crab")</f>
        <v>crab</v>
      </c>
      <c r="N60" s="29" t="str">
        <f>IFERROR(__xludf.DUMMYFUNCTION("IF(L60="""","""",GOOGLETRANSLATE(L60,""ja"",""ko""))"),"게")</f>
        <v>게</v>
      </c>
      <c r="O60" s="5"/>
    </row>
    <row r="61" ht="33.75" customHeight="1">
      <c r="A61" s="20"/>
      <c r="B61" s="28" t="s">
        <v>161</v>
      </c>
      <c r="C61" s="32"/>
      <c r="D61" s="28" t="s">
        <v>171</v>
      </c>
      <c r="E61" s="29" t="str">
        <f>IFERROR(__xludf.DUMMYFUNCTION("IF(D61="""","""",GOOGLETRANSLATE(D61,""ja"",""en""))"),"Snow crab leg meat")</f>
        <v>Snow crab leg meat</v>
      </c>
      <c r="F61" s="29" t="str">
        <f>IFERROR(__xludf.DUMMYFUNCTION("IF(D61="""","""",GOOGLETRANSLATE(D61,""ja"",""ko""))"),"즈와이 바 고기")</f>
        <v>즈와이 바 고기</v>
      </c>
      <c r="G61" s="28" t="s">
        <v>172</v>
      </c>
      <c r="H61" s="29" t="str">
        <f>IFERROR(__xludf.DUMMYFUNCTION("IF(G61="""","""",GOOGLETRANSLATE(G61,""ja"",""en""))"),"Snow crab")</f>
        <v>Snow crab</v>
      </c>
      <c r="I61" s="29" t="str">
        <f>IFERROR(__xludf.DUMMYFUNCTION("IF(G61="""","""",GOOGLETRANSLATE(G61,""ja"",""ko""))"),"대게")</f>
        <v>대게</v>
      </c>
      <c r="J61" s="30"/>
      <c r="K61" s="31">
        <v>440.0</v>
      </c>
      <c r="L61" s="28" t="s">
        <v>36</v>
      </c>
      <c r="M61" s="29" t="str">
        <f>IFERROR(__xludf.DUMMYFUNCTION("IF(L61="""","""",GOOGLETRANSLATE(L61,""ja"",""en""))"),"crab")</f>
        <v>crab</v>
      </c>
      <c r="N61" s="29" t="str">
        <f>IFERROR(__xludf.DUMMYFUNCTION("IF(L61="""","""",GOOGLETRANSLATE(L61,""ja"",""ko""))"),"게")</f>
        <v>게</v>
      </c>
      <c r="O61" s="5"/>
    </row>
    <row r="62" ht="33.75" customHeight="1">
      <c r="A62" s="20"/>
      <c r="B62" s="28" t="s">
        <v>161</v>
      </c>
      <c r="C62" s="32"/>
      <c r="D62" s="28" t="s">
        <v>173</v>
      </c>
      <c r="E62" s="29" t="str">
        <f>IFERROR(__xludf.DUMMYFUNCTION("IF(D62="""","""",GOOGLETRANSLATE(D62,""ja"",""en""))"),"rice")</f>
        <v>rice</v>
      </c>
      <c r="F62" s="29" t="str">
        <f>IFERROR(__xludf.DUMMYFUNCTION("IF(D62="""","""",GOOGLETRANSLATE(D62,""ja"",""ko""))"),"쌀")</f>
        <v>쌀</v>
      </c>
      <c r="G62" s="28" t="s">
        <v>174</v>
      </c>
      <c r="H62" s="29" t="str">
        <f>IFERROR(__xludf.DUMMYFUNCTION("IF(G62="""","""",GOOGLETRANSLATE(G62,""ja"",""en""))"),"rice")</f>
        <v>rice</v>
      </c>
      <c r="I62" s="29" t="str">
        <f>IFERROR(__xludf.DUMMYFUNCTION("IF(G62="""","""",GOOGLETRANSLATE(G62,""ja"",""ko""))"),"쌀")</f>
        <v>쌀</v>
      </c>
      <c r="J62" s="30"/>
      <c r="K62" s="31">
        <v>250.0</v>
      </c>
      <c r="L62" s="5"/>
      <c r="M62" s="29" t="str">
        <f>IFERROR(__xludf.DUMMYFUNCTION("IF(L62="""","""",GOOGLETRANSLATE(L62,""ja"",""en""))"),"")</f>
        <v/>
      </c>
      <c r="N62" s="29" t="str">
        <f>IFERROR(__xludf.DUMMYFUNCTION("IF(L62="""","""",GOOGLETRANSLATE(L62,""ja"",""ko""))"),"")</f>
        <v/>
      </c>
      <c r="O62" s="5"/>
    </row>
    <row r="63" ht="33.75" customHeight="1">
      <c r="A63" s="20"/>
      <c r="B63" s="28" t="s">
        <v>161</v>
      </c>
      <c r="C63" s="32"/>
      <c r="D63" s="28" t="s">
        <v>175</v>
      </c>
      <c r="E63" s="29" t="str">
        <f>IFERROR(__xludf.DUMMYFUNCTION("IF(D63="""","""",GOOGLETRANSLATE(D63,""ja"",""en""))"),"Crab miso soup")</f>
        <v>Crab miso soup</v>
      </c>
      <c r="F63" s="29" t="str">
        <f>IFERROR(__xludf.DUMMYFUNCTION("IF(D63="""","""",GOOGLETRANSLATE(D63,""ja"",""ko""))"),"게의 된장국")</f>
        <v>게의 된장국</v>
      </c>
      <c r="G63" s="28" t="s">
        <v>36</v>
      </c>
      <c r="H63" s="29" t="str">
        <f>IFERROR(__xludf.DUMMYFUNCTION("IF(G63="""","""",GOOGLETRANSLATE(G63,""ja"",""en""))"),"crab")</f>
        <v>crab</v>
      </c>
      <c r="I63" s="29" t="str">
        <f>IFERROR(__xludf.DUMMYFUNCTION("IF(G63="""","""",GOOGLETRANSLATE(G63,""ja"",""ko""))"),"게")</f>
        <v>게</v>
      </c>
      <c r="J63" s="30"/>
      <c r="K63" s="31">
        <v>440.0</v>
      </c>
      <c r="L63" s="28" t="s">
        <v>36</v>
      </c>
      <c r="M63" s="29" t="str">
        <f>IFERROR(__xludf.DUMMYFUNCTION("IF(L63="""","""",GOOGLETRANSLATE(L63,""ja"",""en""))"),"crab")</f>
        <v>crab</v>
      </c>
      <c r="N63" s="29" t="str">
        <f>IFERROR(__xludf.DUMMYFUNCTION("IF(L63="""","""",GOOGLETRANSLATE(L63,""ja"",""ko""))"),"게")</f>
        <v>게</v>
      </c>
      <c r="O63" s="5"/>
    </row>
    <row r="64" ht="33.75" customHeight="1">
      <c r="A64" s="20"/>
      <c r="B64" s="28" t="s">
        <v>161</v>
      </c>
      <c r="C64" s="32"/>
      <c r="D64" s="28" t="s">
        <v>176</v>
      </c>
      <c r="E64" s="29" t="str">
        <f>IFERROR(__xludf.DUMMYFUNCTION("IF(D64="""","""",GOOGLETRANSLATE(D64,""ja"",""en""))"),"Large crab miso soup")</f>
        <v>Large crab miso soup</v>
      </c>
      <c r="F64" s="29" t="str">
        <f>IFERROR(__xludf.DUMMYFUNCTION("IF(D64="""","""",GOOGLETRANSLATE(D64,""ja"",""ko""))"),"게의 된장국(대)")</f>
        <v>게의 된장국(대)</v>
      </c>
      <c r="G64" s="28" t="s">
        <v>36</v>
      </c>
      <c r="H64" s="29" t="str">
        <f>IFERROR(__xludf.DUMMYFUNCTION("IF(G64="""","""",GOOGLETRANSLATE(G64,""ja"",""en""))"),"crab")</f>
        <v>crab</v>
      </c>
      <c r="I64" s="29" t="str">
        <f>IFERROR(__xludf.DUMMYFUNCTION("IF(G64="""","""",GOOGLETRANSLATE(G64,""ja"",""ko""))"),"게")</f>
        <v>게</v>
      </c>
      <c r="J64" s="30"/>
      <c r="K64" s="31">
        <v>880.0</v>
      </c>
      <c r="L64" s="28" t="s">
        <v>36</v>
      </c>
      <c r="M64" s="29" t="str">
        <f>IFERROR(__xludf.DUMMYFUNCTION("IF(L64="""","""",GOOGLETRANSLATE(L64,""ja"",""en""))"),"crab")</f>
        <v>crab</v>
      </c>
      <c r="N64" s="29" t="str">
        <f>IFERROR(__xludf.DUMMYFUNCTION("IF(L64="""","""",GOOGLETRANSLATE(L64,""ja"",""ko""))"),"게")</f>
        <v>게</v>
      </c>
      <c r="O64" s="5"/>
    </row>
    <row r="65" ht="33.75" customHeight="1">
      <c r="A65" s="20"/>
      <c r="B65" s="28" t="s">
        <v>161</v>
      </c>
      <c r="C65" s="32"/>
      <c r="D65" s="28" t="s">
        <v>177</v>
      </c>
      <c r="E65" s="29" t="str">
        <f>IFERROR(__xludf.DUMMYFUNCTION("IF(D65="""","""",GOOGLETRANSLATE(D65,""ja"",""en""))"),"Crab rice porridge")</f>
        <v>Crab rice porridge</v>
      </c>
      <c r="F65" s="29" t="str">
        <f>IFERROR(__xludf.DUMMYFUNCTION("IF(D65="""","""",GOOGLETRANSLATE(D65,""ja"",""ko""))"),"게차 절임")</f>
        <v>게차 절임</v>
      </c>
      <c r="G65" s="28" t="s">
        <v>178</v>
      </c>
      <c r="H65" s="29" t="str">
        <f>IFERROR(__xludf.DUMMYFUNCTION("IF(G65="""","""",GOOGLETRANSLATE(G65,""ja"",""en""))"),"Crab, perilla leaf, seaweed")</f>
        <v>Crab, perilla leaf, seaweed</v>
      </c>
      <c r="I65" s="29" t="str">
        <f>IFERROR(__xludf.DUMMYFUNCTION("IF(G65="""","""",GOOGLETRANSLATE(G65,""ja"",""ko""))"),"게 · 오바 · 풀")</f>
        <v>게 · 오바 · 풀</v>
      </c>
      <c r="J65" s="30"/>
      <c r="K65" s="31">
        <v>1200.0</v>
      </c>
      <c r="L65" s="28" t="s">
        <v>36</v>
      </c>
      <c r="M65" s="29" t="str">
        <f>IFERROR(__xludf.DUMMYFUNCTION("IF(L65="""","""",GOOGLETRANSLATE(L65,""ja"",""en""))"),"crab")</f>
        <v>crab</v>
      </c>
      <c r="N65" s="29" t="str">
        <f>IFERROR(__xludf.DUMMYFUNCTION("IF(L65="""","""",GOOGLETRANSLATE(L65,""ja"",""ko""))"),"게")</f>
        <v>게</v>
      </c>
      <c r="O65" s="5"/>
    </row>
    <row r="66" ht="33.75" customHeight="1">
      <c r="A66" s="20"/>
      <c r="B66" s="28" t="s">
        <v>161</v>
      </c>
      <c r="C66" s="32"/>
      <c r="D66" s="28" t="s">
        <v>179</v>
      </c>
      <c r="E66" s="29" t="str">
        <f>IFERROR(__xludf.DUMMYFUNCTION("IF(D66="""","""",GOOGLETRANSLATE(D66,""ja"",""en""))"),"Sea urchin rice porridge")</f>
        <v>Sea urchin rice porridge</v>
      </c>
      <c r="F66" s="29" t="str">
        <f>IFERROR(__xludf.DUMMYFUNCTION("IF(D66="""","""",GOOGLETRANSLATE(D66,""ja"",""ko""))"),"우니 차즈케")</f>
        <v>우니 차즈케</v>
      </c>
      <c r="G66" s="28" t="s">
        <v>180</v>
      </c>
      <c r="H66" s="29" t="str">
        <f>IFERROR(__xludf.DUMMYFUNCTION("IF(G66="""","""",GOOGLETRANSLATE(G66,""ja"",""en""))"),"Sea urchin, perilla leaf, seaweed")</f>
        <v>Sea urchin, perilla leaf, seaweed</v>
      </c>
      <c r="I66" s="29" t="str">
        <f>IFERROR(__xludf.DUMMYFUNCTION("IF(G66="""","""",GOOGLETRANSLATE(G66,""ja"",""ko""))"),"우니 · 오바 · 김")</f>
        <v>우니 · 오바 · 김</v>
      </c>
      <c r="J66" s="30"/>
      <c r="K66" s="31">
        <v>1500.0</v>
      </c>
      <c r="L66" s="5"/>
      <c r="M66" s="29" t="str">
        <f>IFERROR(__xludf.DUMMYFUNCTION("IF(L66="""","""",GOOGLETRANSLATE(L66,""ja"",""en""))"),"")</f>
        <v/>
      </c>
      <c r="N66" s="29" t="str">
        <f>IFERROR(__xludf.DUMMYFUNCTION("IF(L66="""","""",GOOGLETRANSLATE(L66,""ja"",""ko""))"),"")</f>
        <v/>
      </c>
      <c r="O66" s="5"/>
    </row>
    <row r="67" ht="33.75" customHeight="1">
      <c r="A67" s="20"/>
      <c r="B67" s="28" t="s">
        <v>161</v>
      </c>
      <c r="C67" s="32"/>
      <c r="D67" s="28" t="s">
        <v>181</v>
      </c>
      <c r="E67" s="29" t="str">
        <f>IFERROR(__xludf.DUMMYFUNCTION("IF(D67="""","""",GOOGLETRANSLATE(D67,""ja"",""en""))"),"Crab and Matsumae pickles")</f>
        <v>Crab and Matsumae pickles</v>
      </c>
      <c r="F67" s="29" t="str">
        <f>IFERROR(__xludf.DUMMYFUNCTION("IF(D67="""","""",GOOGLETRANSLATE(D67,""ja"",""ko""))"),"게 마츠마에 절임")</f>
        <v>게 마츠마에 절임</v>
      </c>
      <c r="G67" s="28" t="s">
        <v>182</v>
      </c>
      <c r="H67" s="29" t="str">
        <f>IFERROR(__xludf.DUMMYFUNCTION("IF(G67="""","""",GOOGLETRANSLATE(G67,""ja"",""en""))"),"Crab and kelp")</f>
        <v>Crab and kelp</v>
      </c>
      <c r="I67" s="29" t="str">
        <f>IFERROR(__xludf.DUMMYFUNCTION("IF(G67="""","""",GOOGLETRANSLATE(G67,""ja"",""ko""))"),"게 · 다시마")</f>
        <v>게 · 다시마</v>
      </c>
      <c r="J67" s="30"/>
      <c r="K67" s="31">
        <v>1100.0</v>
      </c>
      <c r="L67" s="28" t="s">
        <v>36</v>
      </c>
      <c r="M67" s="29" t="str">
        <f>IFERROR(__xludf.DUMMYFUNCTION("IF(L67="""","""",GOOGLETRANSLATE(L67,""ja"",""en""))"),"crab")</f>
        <v>crab</v>
      </c>
      <c r="N67" s="29" t="str">
        <f>IFERROR(__xludf.DUMMYFUNCTION("IF(L67="""","""",GOOGLETRANSLATE(L67,""ja"",""ko""))"),"게")</f>
        <v>게</v>
      </c>
      <c r="O67" s="5"/>
    </row>
    <row r="68" ht="33.75" customHeight="1">
      <c r="A68" s="20"/>
      <c r="B68" s="28" t="s">
        <v>161</v>
      </c>
      <c r="C68" s="32"/>
      <c r="D68" s="28" t="s">
        <v>183</v>
      </c>
      <c r="E68" s="29" t="str">
        <f>IFERROR(__xludf.DUMMYFUNCTION("IF(D68="""","""",GOOGLETRANSLATE(D68,""ja"",""en""))"),"Crab Kimchi")</f>
        <v>Crab Kimchi</v>
      </c>
      <c r="F68" s="29" t="str">
        <f>IFERROR(__xludf.DUMMYFUNCTION("IF(D68="""","""",GOOGLETRANSLATE(D68,""ja"",""ko""))"),"게 김치")</f>
        <v>게 김치</v>
      </c>
      <c r="G68" s="28" t="s">
        <v>184</v>
      </c>
      <c r="H68" s="29" t="str">
        <f>IFERROR(__xludf.DUMMYFUNCTION("IF(G68="""","""",GOOGLETRANSLATE(G68,""ja"",""en""))"),"Crab and salmon")</f>
        <v>Crab and salmon</v>
      </c>
      <c r="I68" s="29" t="str">
        <f>IFERROR(__xludf.DUMMYFUNCTION("IF(G68="""","""",GOOGLETRANSLATE(G68,""ja"",""ko""))"),"게 · 연어")</f>
        <v>게 · 연어</v>
      </c>
      <c r="J68" s="30"/>
      <c r="K68" s="31">
        <v>1320.0</v>
      </c>
      <c r="L68" s="28" t="s">
        <v>184</v>
      </c>
      <c r="M68" s="29" t="str">
        <f>IFERROR(__xludf.DUMMYFUNCTION("IF(L68="""","""",GOOGLETRANSLATE(L68,""ja"",""en""))"),"Crab and salmon")</f>
        <v>Crab and salmon</v>
      </c>
      <c r="N68" s="29" t="str">
        <f>IFERROR(__xludf.DUMMYFUNCTION("IF(L68="""","""",GOOGLETRANSLATE(L68,""ja"",""ko""))"),"게 · 연어")</f>
        <v>게 · 연어</v>
      </c>
      <c r="O68" s="5"/>
    </row>
    <row r="69" ht="33.75" customHeight="1">
      <c r="A69" s="20"/>
      <c r="B69" s="28" t="s">
        <v>185</v>
      </c>
      <c r="C69" s="32"/>
      <c r="D69" s="28" t="s">
        <v>186</v>
      </c>
      <c r="E69" s="29" t="str">
        <f>IFERROR(__xludf.DUMMYFUNCTION("IF(D69="""","""",GOOGLETRANSLATE(D69,""ja"",""en""))"),"Salmon and Botan shrimp sashimi")</f>
        <v>Salmon and Botan shrimp sashimi</v>
      </c>
      <c r="F69" s="29" t="str">
        <f>IFERROR(__xludf.DUMMYFUNCTION("IF(D69="""","""",GOOGLETRANSLATE(D69,""ja"",""ko""))"),"연어 버튼 새우 찌르기")</f>
        <v>연어 버튼 새우 찌르기</v>
      </c>
      <c r="G69" s="28" t="s">
        <v>187</v>
      </c>
      <c r="H69" s="29" t="str">
        <f>IFERROR(__xludf.DUMMYFUNCTION("IF(G69="""","""",GOOGLETRANSLATE(G69,""ja"",""en""))"),"Salmon and spot prawns")</f>
        <v>Salmon and spot prawns</v>
      </c>
      <c r="I69" s="29" t="str">
        <f>IFERROR(__xludf.DUMMYFUNCTION("IF(G69="""","""",GOOGLETRANSLATE(G69,""ja"",""ko""))"),"연어 버튼 새우")</f>
        <v>연어 버튼 새우</v>
      </c>
      <c r="J69" s="30"/>
      <c r="K69" s="31">
        <v>2500.0</v>
      </c>
      <c r="L69" s="28" t="s">
        <v>127</v>
      </c>
      <c r="M69" s="29" t="str">
        <f>IFERROR(__xludf.DUMMYFUNCTION("IF(L69="""","""",GOOGLETRANSLATE(L69,""ja"",""en""))"),"shrimp")</f>
        <v>shrimp</v>
      </c>
      <c r="N69" s="29" t="str">
        <f>IFERROR(__xludf.DUMMYFUNCTION("IF(L69="""","""",GOOGLETRANSLATE(L69,""ja"",""ko""))"),"새우")</f>
        <v>새우</v>
      </c>
      <c r="O69" s="5"/>
    </row>
    <row r="70" ht="33.75" customHeight="1">
      <c r="A70" s="20"/>
      <c r="B70" s="28" t="s">
        <v>185</v>
      </c>
      <c r="C70" s="32"/>
      <c r="D70" s="28" t="s">
        <v>188</v>
      </c>
      <c r="E70" s="29" t="str">
        <f>IFERROR(__xludf.DUMMYFUNCTION("IF(D70="""","""",GOOGLETRANSLATE(D70,""ja"",""en""))"),"Salmon sashimi")</f>
        <v>Salmon sashimi</v>
      </c>
      <c r="F70" s="29" t="str">
        <f>IFERROR(__xludf.DUMMYFUNCTION("IF(D70="""","""",GOOGLETRANSLATE(D70,""ja"",""ko""))"),"연어 사시미")</f>
        <v>연어 사시미</v>
      </c>
      <c r="G70" s="28" t="s">
        <v>189</v>
      </c>
      <c r="H70" s="29" t="str">
        <f>IFERROR(__xludf.DUMMYFUNCTION("IF(G70="""","""",GOOGLETRANSLATE(G70,""ja"",""en""))"),"Salmon")</f>
        <v>Salmon</v>
      </c>
      <c r="I70" s="29" t="str">
        <f>IFERROR(__xludf.DUMMYFUNCTION("IF(G70="""","""",GOOGLETRANSLATE(G70,""ja"",""ko""))"),"연어")</f>
        <v>연어</v>
      </c>
      <c r="J70" s="30"/>
      <c r="K70" s="31">
        <v>1100.0</v>
      </c>
      <c r="L70" s="28" t="s">
        <v>60</v>
      </c>
      <c r="M70" s="29" t="str">
        <f>IFERROR(__xludf.DUMMYFUNCTION("IF(L70="""","""",GOOGLETRANSLATE(L70,""ja"",""en""))"),"salmon")</f>
        <v>salmon</v>
      </c>
      <c r="N70" s="29" t="str">
        <f>IFERROR(__xludf.DUMMYFUNCTION("IF(L70="""","""",GOOGLETRANSLATE(L70,""ja"",""ko""))"),"연어")</f>
        <v>연어</v>
      </c>
      <c r="O70" s="5"/>
    </row>
    <row r="71" ht="33.75" customHeight="1">
      <c r="A71" s="20"/>
      <c r="B71" s="28" t="s">
        <v>185</v>
      </c>
      <c r="C71" s="32"/>
      <c r="D71" s="28" t="s">
        <v>190</v>
      </c>
      <c r="E71" s="29" t="str">
        <f>IFERROR(__xludf.DUMMYFUNCTION("IF(D71="""","""",GOOGLETRANSLATE(D71,""ja"",""en""))"),"Tuna sashimi")</f>
        <v>Tuna sashimi</v>
      </c>
      <c r="F71" s="29" t="str">
        <f>IFERROR(__xludf.DUMMYFUNCTION("IF(D71="""","""",GOOGLETRANSLATE(D71,""ja"",""ko""))"),"참치 사시미")</f>
        <v>참치 사시미</v>
      </c>
      <c r="G71" s="28" t="s">
        <v>191</v>
      </c>
      <c r="H71" s="29" t="str">
        <f>IFERROR(__xludf.DUMMYFUNCTION("IF(G71="""","""",GOOGLETRANSLATE(G71,""ja"",""en""))"),"tuna")</f>
        <v>tuna</v>
      </c>
      <c r="I71" s="29" t="str">
        <f>IFERROR(__xludf.DUMMYFUNCTION("IF(G71="""","""",GOOGLETRANSLATE(G71,""ja"",""ko""))"),"참치")</f>
        <v>참치</v>
      </c>
      <c r="J71" s="30"/>
      <c r="K71" s="31">
        <v>1800.0</v>
      </c>
      <c r="L71" s="5"/>
      <c r="M71" s="29" t="str">
        <f>IFERROR(__xludf.DUMMYFUNCTION("IF(L71="""","""",GOOGLETRANSLATE(L71,""ja"",""en""))"),"")</f>
        <v/>
      </c>
      <c r="N71" s="29" t="str">
        <f>IFERROR(__xludf.DUMMYFUNCTION("IF(L71="""","""",GOOGLETRANSLATE(L71,""ja"",""ko""))"),"")</f>
        <v/>
      </c>
      <c r="O71" s="5"/>
    </row>
    <row r="72" ht="33.75" customHeight="1">
      <c r="A72" s="20"/>
      <c r="B72" s="28" t="s">
        <v>185</v>
      </c>
      <c r="C72" s="32"/>
      <c r="D72" s="28" t="s">
        <v>192</v>
      </c>
      <c r="E72" s="29" t="str">
        <f>IFERROR(__xludf.DUMMYFUNCTION("IF(D72="""","""",GOOGLETRANSLATE(D72,""ja"",""en""))"),"Five-piece sashimi platter")</f>
        <v>Five-piece sashimi platter</v>
      </c>
      <c r="F72" s="29" t="str">
        <f>IFERROR(__xludf.DUMMYFUNCTION("IF(D72="""","""",GOOGLETRANSLATE(D72,""ja"",""ko""))"),"생선회 오점 모듬")</f>
        <v>생선회 오점 모듬</v>
      </c>
      <c r="G72" s="28" t="s">
        <v>193</v>
      </c>
      <c r="H72" s="29" t="str">
        <f>IFERROR(__xludf.DUMMYFUNCTION("IF(G72="""","""",GOOGLETRANSLATE(G72,""ja"",""en""))"),"Salmon, tuna, scallops, king crab sashimi, spot prawns")</f>
        <v>Salmon, tuna, scallops, king crab sashimi, spot prawns</v>
      </c>
      <c r="I72" s="29" t="str">
        <f>IFERROR(__xludf.DUMMYFUNCTION("IF(G72="""","""",GOOGLETRANSLATE(G72,""ja"",""ko""))"),"연어, 참치, 호타테, 타라바 찌르기, 버튼 새우")</f>
        <v>연어, 참치, 호타테, 타라바 찌르기, 버튼 새우</v>
      </c>
      <c r="J72" s="30"/>
      <c r="K72" s="31">
        <v>4800.0</v>
      </c>
      <c r="L72" s="28" t="s">
        <v>194</v>
      </c>
      <c r="M72" s="29" t="str">
        <f>IFERROR(__xludf.DUMMYFUNCTION("IF(L72="""","""",GOOGLETRANSLATE(L72,""ja"",""en""))"),"Salmon, crab, shrimp")</f>
        <v>Salmon, crab, shrimp</v>
      </c>
      <c r="N72" s="29" t="str">
        <f>IFERROR(__xludf.DUMMYFUNCTION("IF(L72="""","""",GOOGLETRANSLATE(L72,""ja"",""ko""))"),"연어, 게, 새우")</f>
        <v>연어, 게, 새우</v>
      </c>
      <c r="O72" s="5"/>
    </row>
    <row r="73" ht="33.75" customHeight="1">
      <c r="A73" s="20"/>
      <c r="B73" s="28" t="s">
        <v>185</v>
      </c>
      <c r="C73" s="32"/>
      <c r="D73" s="28" t="s">
        <v>195</v>
      </c>
      <c r="E73" s="29" t="str">
        <f>IFERROR(__xludf.DUMMYFUNCTION("IF(D73="""","""",GOOGLETRANSLATE(D73,""ja"",""en""))"),"Scallop sashimi")</f>
        <v>Scallop sashimi</v>
      </c>
      <c r="F73" s="29" t="str">
        <f>IFERROR(__xludf.DUMMYFUNCTION("IF(D73="""","""",GOOGLETRANSLATE(D73,""ja"",""ko""))"),"호타테 사시미")</f>
        <v>호타테 사시미</v>
      </c>
      <c r="G73" s="28" t="s">
        <v>196</v>
      </c>
      <c r="H73" s="29" t="str">
        <f>IFERROR(__xludf.DUMMYFUNCTION("IF(G73="""","""",GOOGLETRANSLATE(G73,""ja"",""en""))"),"Scallops")</f>
        <v>Scallops</v>
      </c>
      <c r="I73" s="29" t="str">
        <f>IFERROR(__xludf.DUMMYFUNCTION("IF(G73="""","""",GOOGLETRANSLATE(G73,""ja"",""ko""))"),"가리비")</f>
        <v>가리비</v>
      </c>
      <c r="J73" s="33"/>
      <c r="K73" s="31">
        <v>1500.0</v>
      </c>
      <c r="L73" s="5"/>
      <c r="M73" s="29" t="str">
        <f>IFERROR(__xludf.DUMMYFUNCTION("IF(L73="""","""",GOOGLETRANSLATE(L73,""ja"",""en""))"),"")</f>
        <v/>
      </c>
      <c r="N73" s="29" t="str">
        <f>IFERROR(__xludf.DUMMYFUNCTION("IF(L73="""","""",GOOGLETRANSLATE(L73,""ja"",""ko""))"),"")</f>
        <v/>
      </c>
      <c r="O73" s="5"/>
    </row>
    <row r="74" ht="33.75" customHeight="1">
      <c r="A74" s="20"/>
      <c r="B74" s="28" t="s">
        <v>185</v>
      </c>
      <c r="C74" s="32"/>
      <c r="D74" s="28" t="s">
        <v>197</v>
      </c>
      <c r="E74" s="29" t="str">
        <f>IFERROR(__xludf.DUMMYFUNCTION("IF(D74="""","""",GOOGLETRANSLATE(D74,""ja"",""en""))"),"Botan shrimp sashimi")</f>
        <v>Botan shrimp sashimi</v>
      </c>
      <c r="F74" s="29" t="str">
        <f>IFERROR(__xludf.DUMMYFUNCTION("IF(D74="""","""",GOOGLETRANSLATE(D74,""ja"",""ko""))"),"모란 새우")</f>
        <v>모란 새우</v>
      </c>
      <c r="G74" s="28" t="s">
        <v>198</v>
      </c>
      <c r="H74" s="29" t="str">
        <f>IFERROR(__xludf.DUMMYFUNCTION("IF(G74="""","""",GOOGLETRANSLATE(G74,""ja"",""en""))"),"Botan shrimp")</f>
        <v>Botan shrimp</v>
      </c>
      <c r="I74" s="29" t="str">
        <f>IFERROR(__xludf.DUMMYFUNCTION("IF(G74="""","""",GOOGLETRANSLATE(G74,""ja"",""ko""))"),"버튼 새우")</f>
        <v>버튼 새우</v>
      </c>
      <c r="J74" s="30"/>
      <c r="K74" s="31">
        <v>2000.0</v>
      </c>
      <c r="L74" s="28" t="s">
        <v>127</v>
      </c>
      <c r="M74" s="29" t="str">
        <f>IFERROR(__xludf.DUMMYFUNCTION("IF(L74="""","""",GOOGLETRANSLATE(L74,""ja"",""en""))"),"shrimp")</f>
        <v>shrimp</v>
      </c>
      <c r="N74" s="29" t="str">
        <f>IFERROR(__xludf.DUMMYFUNCTION("IF(L74="""","""",GOOGLETRANSLATE(L74,""ja"",""ko""))"),"새우")</f>
        <v>새우</v>
      </c>
      <c r="O74" s="5"/>
    </row>
    <row r="75" ht="33.75" customHeight="1">
      <c r="A75" s="20"/>
      <c r="B75" s="28" t="s">
        <v>185</v>
      </c>
      <c r="C75" s="32"/>
      <c r="D75" s="28" t="s">
        <v>199</v>
      </c>
      <c r="E75" s="29" t="str">
        <f>IFERROR(__xludf.DUMMYFUNCTION("IF(D75="""","""",GOOGLETRANSLATE(D75,""ja"",""en""))"),"Assorted crab sashimi")</f>
        <v>Assorted crab sashimi</v>
      </c>
      <c r="F75" s="29" t="str">
        <f>IFERROR(__xludf.DUMMYFUNCTION("IF(D75="""","""",GOOGLETRANSLATE(D75,""ja"",""ko""))"),"게 사시미 모듬")</f>
        <v>게 사시미 모듬</v>
      </c>
      <c r="G75" s="28" t="s">
        <v>200</v>
      </c>
      <c r="H75" s="29" t="str">
        <f>IFERROR(__xludf.DUMMYFUNCTION("IF(G75="""","""",GOOGLETRANSLATE(G75,""ja"",""en""))"),"King crab and snow crab")</f>
        <v>King crab and snow crab</v>
      </c>
      <c r="I75" s="29" t="str">
        <f>IFERROR(__xludf.DUMMYFUNCTION("IF(G75="""","""",GOOGLETRANSLATE(G75,""ja"",""ko""))"),"타라 바가니 · 스와이 게")</f>
        <v>타라 바가니 · 스와이 게</v>
      </c>
      <c r="J75" s="30"/>
      <c r="K75" s="31">
        <v>4800.0</v>
      </c>
      <c r="L75" s="28" t="s">
        <v>36</v>
      </c>
      <c r="M75" s="29" t="str">
        <f>IFERROR(__xludf.DUMMYFUNCTION("IF(L75="""","""",GOOGLETRANSLATE(L75,""ja"",""en""))"),"crab")</f>
        <v>crab</v>
      </c>
      <c r="N75" s="29" t="str">
        <f>IFERROR(__xludf.DUMMYFUNCTION("IF(L75="""","""",GOOGLETRANSLATE(L75,""ja"",""ko""))"),"게")</f>
        <v>게</v>
      </c>
      <c r="O75" s="5"/>
    </row>
    <row r="76" ht="33.75" customHeight="1">
      <c r="A76" s="20"/>
      <c r="B76" s="28" t="s">
        <v>185</v>
      </c>
      <c r="C76" s="32"/>
      <c r="D76" s="28" t="s">
        <v>201</v>
      </c>
      <c r="E76" s="29" t="str">
        <f>IFERROR(__xludf.DUMMYFUNCTION("IF(D76="""","""",GOOGLETRANSLATE(D76,""ja"",""en""))"),"King crab sashimi")</f>
        <v>King crab sashimi</v>
      </c>
      <c r="F76" s="29" t="str">
        <f>IFERROR(__xludf.DUMMYFUNCTION("IF(D76="""","""",GOOGLETRANSLATE(D76,""ja"",""ko""))"),"타라바 게 사시미")</f>
        <v>타라바 게 사시미</v>
      </c>
      <c r="G76" s="28" t="s">
        <v>202</v>
      </c>
      <c r="H76" s="29" t="str">
        <f>IFERROR(__xludf.DUMMYFUNCTION("IF(G76="""","""",GOOGLETRANSLATE(G76,""ja"",""en""))"),"King crab")</f>
        <v>King crab</v>
      </c>
      <c r="I76" s="29" t="str">
        <f>IFERROR(__xludf.DUMMYFUNCTION("IF(G76="""","""",GOOGLETRANSLATE(G76,""ja"",""ko""))"),"타라바가")</f>
        <v>타라바가</v>
      </c>
      <c r="J76" s="30"/>
      <c r="K76" s="31">
        <v>5500.0</v>
      </c>
      <c r="L76" s="28" t="s">
        <v>36</v>
      </c>
      <c r="M76" s="29" t="str">
        <f>IFERROR(__xludf.DUMMYFUNCTION("IF(L76="""","""",GOOGLETRANSLATE(L76,""ja"",""en""))"),"crab")</f>
        <v>crab</v>
      </c>
      <c r="N76" s="29" t="str">
        <f>IFERROR(__xludf.DUMMYFUNCTION("IF(L76="""","""",GOOGLETRANSLATE(L76,""ja"",""ko""))"),"게")</f>
        <v>게</v>
      </c>
      <c r="O76" s="5"/>
    </row>
    <row r="77" ht="33.75" customHeight="1">
      <c r="A77" s="20"/>
      <c r="B77" s="28" t="s">
        <v>185</v>
      </c>
      <c r="C77" s="32"/>
      <c r="D77" s="28" t="s">
        <v>203</v>
      </c>
      <c r="E77" s="29" t="str">
        <f>IFERROR(__xludf.DUMMYFUNCTION("IF(D77="""","""",GOOGLETRANSLATE(D77,""ja"",""en""))"),"Snow crab sashimi")</f>
        <v>Snow crab sashimi</v>
      </c>
      <c r="F77" s="29" t="str">
        <f>IFERROR(__xludf.DUMMYFUNCTION("IF(D77="""","""",GOOGLETRANSLATE(D77,""ja"",""ko""))"),"대게 사시미")</f>
        <v>대게 사시미</v>
      </c>
      <c r="G77" s="28" t="s">
        <v>172</v>
      </c>
      <c r="H77" s="29" t="str">
        <f>IFERROR(__xludf.DUMMYFUNCTION("IF(G77="""","""",GOOGLETRANSLATE(G77,""ja"",""en""))"),"Snow crab")</f>
        <v>Snow crab</v>
      </c>
      <c r="I77" s="29" t="str">
        <f>IFERROR(__xludf.DUMMYFUNCTION("IF(G77="""","""",GOOGLETRANSLATE(G77,""ja"",""ko""))"),"대게")</f>
        <v>대게</v>
      </c>
      <c r="J77" s="30"/>
      <c r="K77" s="31">
        <v>2500.0</v>
      </c>
      <c r="L77" s="28" t="s">
        <v>36</v>
      </c>
      <c r="M77" s="29" t="str">
        <f>IFERROR(__xludf.DUMMYFUNCTION("IF(L77="""","""",GOOGLETRANSLATE(L77,""ja"",""en""))"),"crab")</f>
        <v>crab</v>
      </c>
      <c r="N77" s="29" t="str">
        <f>IFERROR(__xludf.DUMMYFUNCTION("IF(L77="""","""",GOOGLETRANSLATE(L77,""ja"",""ko""))"),"게")</f>
        <v>게</v>
      </c>
      <c r="O77" s="5"/>
    </row>
    <row r="78" ht="33.75" customHeight="1">
      <c r="A78" s="20"/>
      <c r="B78" s="28" t="s">
        <v>185</v>
      </c>
      <c r="C78" s="32"/>
      <c r="D78" s="28" t="s">
        <v>204</v>
      </c>
      <c r="E78" s="29" t="str">
        <f>IFERROR(__xludf.DUMMYFUNCTION("IF(D78="""","""",GOOGLETRANSLATE(D78,""ja"",""en""))"),"Sea urchin sashimi")</f>
        <v>Sea urchin sashimi</v>
      </c>
      <c r="F78" s="29" t="str">
        <f>IFERROR(__xludf.DUMMYFUNCTION("IF(D78="""","""",GOOGLETRANSLATE(D78,""ja"",""ko""))"),"우니의 사시미")</f>
        <v>우니의 사시미</v>
      </c>
      <c r="G78" s="28" t="s">
        <v>56</v>
      </c>
      <c r="H78" s="29" t="str">
        <f>IFERROR(__xludf.DUMMYFUNCTION("IF(G78="""","""",GOOGLETRANSLATE(G78,""ja"",""en""))"),"sea ​​urchin")</f>
        <v>sea ​​urchin</v>
      </c>
      <c r="I78" s="29" t="str">
        <f>IFERROR(__xludf.DUMMYFUNCTION("IF(G78="""","""",GOOGLETRANSLATE(G78,""ja"",""ko""))"),"우니")</f>
        <v>우니</v>
      </c>
      <c r="J78" s="30"/>
      <c r="K78" s="31">
        <v>5000.0</v>
      </c>
      <c r="L78" s="5"/>
      <c r="M78" s="29" t="str">
        <f>IFERROR(__xludf.DUMMYFUNCTION("IF(L78="""","""",GOOGLETRANSLATE(L78,""ja"",""en""))"),"")</f>
        <v/>
      </c>
      <c r="N78" s="29" t="str">
        <f>IFERROR(__xludf.DUMMYFUNCTION("IF(L78="""","""",GOOGLETRANSLATE(L78,""ja"",""ko""))"),"")</f>
        <v/>
      </c>
      <c r="O78" s="5"/>
    </row>
    <row r="79" ht="33.75" customHeight="1">
      <c r="A79" s="20"/>
      <c r="B79" s="28" t="s">
        <v>185</v>
      </c>
      <c r="C79" s="32"/>
      <c r="D79" s="28" t="s">
        <v>205</v>
      </c>
      <c r="E79" s="29" t="str">
        <f>IFERROR(__xludf.DUMMYFUNCTION("IF(D79="""","""",GOOGLETRANSLATE(D79,""ja"",""en""))"),"Sweet shrimp sashimi")</f>
        <v>Sweet shrimp sashimi</v>
      </c>
      <c r="F79" s="29" t="str">
        <f>IFERROR(__xludf.DUMMYFUNCTION("IF(D79="""","""",GOOGLETRANSLATE(D79,""ja"",""ko""))"),"달콤한 새우 생선회")</f>
        <v>달콤한 새우 생선회</v>
      </c>
      <c r="G79" s="28" t="s">
        <v>206</v>
      </c>
      <c r="H79" s="29" t="str">
        <f>IFERROR(__xludf.DUMMYFUNCTION("IF(G79="""","""",GOOGLETRANSLATE(G79,""ja"",""en""))"),"Sweet shrimp")</f>
        <v>Sweet shrimp</v>
      </c>
      <c r="I79" s="29" t="str">
        <f>IFERROR(__xludf.DUMMYFUNCTION("IF(G79="""","""",GOOGLETRANSLATE(G79,""ja"",""ko""))"),"달콤한 새우")</f>
        <v>달콤한 새우</v>
      </c>
      <c r="J79" s="30"/>
      <c r="K79" s="31">
        <v>1200.0</v>
      </c>
      <c r="L79" s="28" t="s">
        <v>127</v>
      </c>
      <c r="M79" s="29" t="str">
        <f>IFERROR(__xludf.DUMMYFUNCTION("IF(L79="""","""",GOOGLETRANSLATE(L79,""ja"",""en""))"),"shrimp")</f>
        <v>shrimp</v>
      </c>
      <c r="N79" s="29" t="str">
        <f>IFERROR(__xludf.DUMMYFUNCTION("IF(L79="""","""",GOOGLETRANSLATE(L79,""ja"",""ko""))"),"새우")</f>
        <v>새우</v>
      </c>
      <c r="O79" s="5"/>
    </row>
    <row r="80" ht="33.75" customHeight="1">
      <c r="A80" s="20"/>
      <c r="B80" s="28" t="s">
        <v>207</v>
      </c>
      <c r="C80" s="32"/>
      <c r="D80" s="28" t="s">
        <v>208</v>
      </c>
      <c r="E80" s="29" t="str">
        <f>IFERROR(__xludf.DUMMYFUNCTION("IF(D80="""","""",GOOGLETRANSLATE(D80,""ja"",""en""))"),"Grilled King Crab")</f>
        <v>Grilled King Crab</v>
      </c>
      <c r="F80" s="29" t="str">
        <f>IFERROR(__xludf.DUMMYFUNCTION("IF(D80="""","""",GOOGLETRANSLATE(D80,""ja"",""ko""))"),"구운 대구 게")</f>
        <v>구운 대구 게</v>
      </c>
      <c r="G80" s="28" t="s">
        <v>209</v>
      </c>
      <c r="H80" s="29" t="str">
        <f>IFERROR(__xludf.DUMMYFUNCTION("IF(G80="""","""",GOOGLETRANSLATE(G80,""ja"",""en""))"),"King crab")</f>
        <v>King crab</v>
      </c>
      <c r="I80" s="29" t="str">
        <f>IFERROR(__xludf.DUMMYFUNCTION("IF(G80="""","""",GOOGLETRANSLATE(G80,""ja"",""ko""))"),"타라바가니")</f>
        <v>타라바가니</v>
      </c>
      <c r="J80" s="30"/>
      <c r="K80" s="31">
        <v>5800.0</v>
      </c>
      <c r="L80" s="28" t="s">
        <v>36</v>
      </c>
      <c r="M80" s="29" t="str">
        <f>IFERROR(__xludf.DUMMYFUNCTION("IF(L80="""","""",GOOGLETRANSLATE(L80,""ja"",""en""))"),"crab")</f>
        <v>crab</v>
      </c>
      <c r="N80" s="29" t="str">
        <f>IFERROR(__xludf.DUMMYFUNCTION("IF(L80="""","""",GOOGLETRANSLATE(L80,""ja"",""ko""))"),"게")</f>
        <v>게</v>
      </c>
      <c r="O80" s="5"/>
    </row>
    <row r="81" ht="33.75" customHeight="1">
      <c r="A81" s="20"/>
      <c r="B81" s="28" t="s">
        <v>207</v>
      </c>
      <c r="C81" s="32"/>
      <c r="D81" s="28" t="s">
        <v>210</v>
      </c>
      <c r="E81" s="29" t="str">
        <f>IFERROR(__xludf.DUMMYFUNCTION("IF(D81="""","""",GOOGLETRANSLATE(D81,""ja"",""en""))"),"Grilled crab")</f>
        <v>Grilled crab</v>
      </c>
      <c r="F81" s="29" t="str">
        <f>IFERROR(__xludf.DUMMYFUNCTION("IF(D81="""","""",GOOGLETRANSLATE(D81,""ja"",""ko""))"),"구운 게")</f>
        <v>구운 게</v>
      </c>
      <c r="G81" s="28" t="s">
        <v>211</v>
      </c>
      <c r="H81" s="29" t="str">
        <f>IFERROR(__xludf.DUMMYFUNCTION("IF(G81="""","""",GOOGLETRANSLATE(G81,""ja"",""en""))"),"Giant Snow Crab")</f>
        <v>Giant Snow Crab</v>
      </c>
      <c r="I81" s="29" t="str">
        <f>IFERROR(__xludf.DUMMYFUNCTION("IF(G81="""","""",GOOGLETRANSLATE(G81,""ja"",""ko""))"),"오오스와이가니")</f>
        <v>오오스와이가니</v>
      </c>
      <c r="J81" s="30"/>
      <c r="K81" s="31">
        <v>2200.0</v>
      </c>
      <c r="L81" s="28" t="s">
        <v>36</v>
      </c>
      <c r="M81" s="29" t="str">
        <f>IFERROR(__xludf.DUMMYFUNCTION("IF(L81="""","""",GOOGLETRANSLATE(L81,""ja"",""en""))"),"crab")</f>
        <v>crab</v>
      </c>
      <c r="N81" s="29" t="str">
        <f>IFERROR(__xludf.DUMMYFUNCTION("IF(L81="""","""",GOOGLETRANSLATE(L81,""ja"",""ko""))"),"게")</f>
        <v>게</v>
      </c>
      <c r="O81" s="5"/>
    </row>
    <row r="82" ht="33.75" customHeight="1">
      <c r="A82" s="20"/>
      <c r="B82" s="28" t="s">
        <v>207</v>
      </c>
      <c r="C82" s="32"/>
      <c r="D82" s="28" t="s">
        <v>212</v>
      </c>
      <c r="E82" s="29" t="str">
        <f>IFERROR(__xludf.DUMMYFUNCTION("IF(D82="""","""",GOOGLETRANSLATE(D82,""ja"",""en""))"),"Extra-large king crab steak")</f>
        <v>Extra-large king crab steak</v>
      </c>
      <c r="F82" s="29" t="str">
        <f>IFERROR(__xludf.DUMMYFUNCTION("IF(D82="""","""",GOOGLETRANSLATE(D82,""ja"",""ko""))"),"특대 대구 스테이크")</f>
        <v>특대 대구 스테이크</v>
      </c>
      <c r="G82" s="28" t="s">
        <v>213</v>
      </c>
      <c r="H82" s="29" t="str">
        <f>IFERROR(__xludf.DUMMYFUNCTION("IF(G82="""","""",GOOGLETRANSLATE(G82,""ja"",""en""))"),"King crab")</f>
        <v>King crab</v>
      </c>
      <c r="I82" s="29" t="str">
        <f>IFERROR(__xludf.DUMMYFUNCTION("IF(G82="""","""",GOOGLETRANSLATE(G82,""ja"",""ko""))"),"타라바게")</f>
        <v>타라바게</v>
      </c>
      <c r="J82" s="30"/>
      <c r="K82" s="31">
        <v>3800.0</v>
      </c>
      <c r="L82" s="28" t="s">
        <v>36</v>
      </c>
      <c r="M82" s="29" t="str">
        <f>IFERROR(__xludf.DUMMYFUNCTION("IF(L82="""","""",GOOGLETRANSLATE(L82,""ja"",""en""))"),"crab")</f>
        <v>crab</v>
      </c>
      <c r="N82" s="29" t="str">
        <f>IFERROR(__xludf.DUMMYFUNCTION("IF(L82="""","""",GOOGLETRANSLATE(L82,""ja"",""ko""))"),"게")</f>
        <v>게</v>
      </c>
      <c r="O82" s="5"/>
    </row>
    <row r="83" ht="33.75" customHeight="1">
      <c r="A83" s="20"/>
      <c r="B83" s="28" t="s">
        <v>207</v>
      </c>
      <c r="C83" s="32"/>
      <c r="D83" s="28" t="s">
        <v>214</v>
      </c>
      <c r="E83" s="29" t="str">
        <f>IFERROR(__xludf.DUMMYFUNCTION("IF(D83="""","""",GOOGLETRANSLATE(D83,""ja"",""en""))"),"Steamed oyster (1 piece)")</f>
        <v>Steamed oyster (1 piece)</v>
      </c>
      <c r="F83" s="29" t="str">
        <f>IFERROR(__xludf.DUMMYFUNCTION("IF(D83="""","""",GOOGLETRANSLATE(D83,""ja"",""ko""))"),"찐 굴(1개)")</f>
        <v>찐 굴(1개)</v>
      </c>
      <c r="G83" s="28" t="s">
        <v>215</v>
      </c>
      <c r="H83" s="29" t="str">
        <f>IFERROR(__xludf.DUMMYFUNCTION("IF(G83="""","""",GOOGLETRANSLATE(G83,""ja"",""en""))"),"oyster")</f>
        <v>oyster</v>
      </c>
      <c r="I83" s="29" t="str">
        <f>IFERROR(__xludf.DUMMYFUNCTION("IF(G83="""","""",GOOGLETRANSLATE(G83,""ja"",""ko""))"),"굴")</f>
        <v>굴</v>
      </c>
      <c r="J83" s="30"/>
      <c r="K83" s="31">
        <v>700.0</v>
      </c>
      <c r="L83" s="5"/>
      <c r="M83" s="29" t="str">
        <f>IFERROR(__xludf.DUMMYFUNCTION("IF(L83="""","""",GOOGLETRANSLATE(L83,""ja"",""en""))"),"")</f>
        <v/>
      </c>
      <c r="N83" s="29" t="str">
        <f>IFERROR(__xludf.DUMMYFUNCTION("IF(L83="""","""",GOOGLETRANSLATE(L83,""ja"",""ko""))"),"")</f>
        <v/>
      </c>
      <c r="O83" s="5"/>
    </row>
    <row r="84" ht="33.75" customHeight="1">
      <c r="A84" s="20"/>
      <c r="B84" s="28" t="s">
        <v>207</v>
      </c>
      <c r="C84" s="32"/>
      <c r="D84" s="28" t="s">
        <v>216</v>
      </c>
      <c r="E84" s="29" t="str">
        <f>IFERROR(__xludf.DUMMYFUNCTION("IF(D84="""","""",GOOGLETRANSLATE(D84,""ja"",""en""))"),"Steamed oysters (3 pieces)")</f>
        <v>Steamed oysters (3 pieces)</v>
      </c>
      <c r="F84" s="29" t="str">
        <f>IFERROR(__xludf.DUMMYFUNCTION("IF(D84="""","""",GOOGLETRANSLATE(D84,""ja"",""ko""))"),"찐 굴(3개)")</f>
        <v>찐 굴(3개)</v>
      </c>
      <c r="G84" s="28" t="s">
        <v>215</v>
      </c>
      <c r="H84" s="29" t="str">
        <f>IFERROR(__xludf.DUMMYFUNCTION("IF(G84="""","""",GOOGLETRANSLATE(G84,""ja"",""en""))"),"oyster")</f>
        <v>oyster</v>
      </c>
      <c r="I84" s="29" t="str">
        <f>IFERROR(__xludf.DUMMYFUNCTION("IF(G84="""","""",GOOGLETRANSLATE(G84,""ja"",""ko""))"),"굴")</f>
        <v>굴</v>
      </c>
      <c r="J84" s="30"/>
      <c r="K84" s="31">
        <v>1800.0</v>
      </c>
      <c r="L84" s="5"/>
      <c r="M84" s="29" t="str">
        <f>IFERROR(__xludf.DUMMYFUNCTION("IF(L84="""","""",GOOGLETRANSLATE(L84,""ja"",""en""))"),"")</f>
        <v/>
      </c>
      <c r="N84" s="29" t="str">
        <f>IFERROR(__xludf.DUMMYFUNCTION("IF(L84="""","""",GOOGLETRANSLATE(L84,""ja"",""ko""))"),"")</f>
        <v/>
      </c>
      <c r="O84" s="5"/>
    </row>
    <row r="85" ht="33.75" customHeight="1">
      <c r="A85" s="20"/>
      <c r="B85" s="28" t="s">
        <v>207</v>
      </c>
      <c r="C85" s="32"/>
      <c r="D85" s="28" t="s">
        <v>217</v>
      </c>
      <c r="E85" s="29" t="str">
        <f>IFERROR(__xludf.DUMMYFUNCTION("IF(D85="""","""",GOOGLETRANSLATE(D85,""ja"",""en""))"),"Crab gratin")</f>
        <v>Crab gratin</v>
      </c>
      <c r="F85" s="29" t="str">
        <f>IFERROR(__xludf.DUMMYFUNCTION("IF(D85="""","""",GOOGLETRANSLATE(D85,""ja"",""ko""))"),"카니그라탄")</f>
        <v>카니그라탄</v>
      </c>
      <c r="G85" s="28" t="s">
        <v>218</v>
      </c>
      <c r="H85" s="29" t="str">
        <f>IFERROR(__xludf.DUMMYFUNCTION("IF(G85="""","""",GOOGLETRANSLATE(G85,""ja"",""en""))"),"Crab and cheese")</f>
        <v>Crab and cheese</v>
      </c>
      <c r="I85" s="29" t="str">
        <f>IFERROR(__xludf.DUMMYFUNCTION("IF(G85="""","""",GOOGLETRANSLATE(G85,""ja"",""ko""))"),"게 · 치즈")</f>
        <v>게 · 치즈</v>
      </c>
      <c r="J85" s="30"/>
      <c r="K85" s="31">
        <v>1350.0</v>
      </c>
      <c r="L85" s="28" t="s">
        <v>36</v>
      </c>
      <c r="M85" s="29" t="str">
        <f>IFERROR(__xludf.DUMMYFUNCTION("IF(L85="""","""",GOOGLETRANSLATE(L85,""ja"",""en""))"),"crab")</f>
        <v>crab</v>
      </c>
      <c r="N85" s="29" t="str">
        <f>IFERROR(__xludf.DUMMYFUNCTION("IF(L85="""","""",GOOGLETRANSLATE(L85,""ja"",""ko""))"),"게")</f>
        <v>게</v>
      </c>
      <c r="O85" s="5"/>
    </row>
    <row r="86" ht="33.75" customHeight="1">
      <c r="A86" s="20"/>
      <c r="B86" s="28" t="s">
        <v>207</v>
      </c>
      <c r="C86" s="32"/>
      <c r="D86" s="28" t="s">
        <v>219</v>
      </c>
      <c r="E86" s="29" t="str">
        <f>IFERROR(__xludf.DUMMYFUNCTION("IF(D86="""","""",GOOGLETRANSLATE(D86,""ja"",""en""))"),"Grilled crab miso in the shell")</f>
        <v>Grilled crab miso in the shell</v>
      </c>
      <c r="F86" s="29" t="str">
        <f>IFERROR(__xludf.DUMMYFUNCTION("IF(D86="""","""",GOOGLETRANSLATE(D86,""ja"",""ko""))"),"게 된장 고라야키")</f>
        <v>게 된장 고라야키</v>
      </c>
      <c r="G86" s="28" t="s">
        <v>164</v>
      </c>
      <c r="H86" s="29" t="str">
        <f>IFERROR(__xludf.DUMMYFUNCTION("IF(G86="""","""",GOOGLETRANSLATE(G86,""ja"",""en""))"),"Crab and crab miso")</f>
        <v>Crab and crab miso</v>
      </c>
      <c r="I86" s="29" t="str">
        <f>IFERROR(__xludf.DUMMYFUNCTION("IF(G86="""","""",GOOGLETRANSLATE(G86,""ja"",""ko""))"),"게 · 게 미소")</f>
        <v>게 · 게 미소</v>
      </c>
      <c r="J86" s="30"/>
      <c r="K86" s="31">
        <v>1000.0</v>
      </c>
      <c r="L86" s="5"/>
      <c r="M86" s="29" t="str">
        <f>IFERROR(__xludf.DUMMYFUNCTION("IF(L86="""","""",GOOGLETRANSLATE(L86,""ja"",""en""))"),"")</f>
        <v/>
      </c>
      <c r="N86" s="29" t="str">
        <f>IFERROR(__xludf.DUMMYFUNCTION("IF(L86="""","""",GOOGLETRANSLATE(L86,""ja"",""ko""))"),"")</f>
        <v/>
      </c>
      <c r="O86" s="5"/>
    </row>
    <row r="87" ht="33.75" customHeight="1">
      <c r="A87" s="20"/>
      <c r="B87" s="28" t="s">
        <v>207</v>
      </c>
      <c r="C87" s="32"/>
      <c r="D87" s="28" t="s">
        <v>220</v>
      </c>
      <c r="E87" s="29" t="str">
        <f>IFERROR(__xludf.DUMMYFUNCTION("IF(D87="""","""",GOOGLETRANSLATE(D87,""ja"",""en""))"),"Grilled scallops with butter and soy sauce")</f>
        <v>Grilled scallops with butter and soy sauce</v>
      </c>
      <c r="F87" s="29" t="str">
        <f>IFERROR(__xludf.DUMMYFUNCTION("IF(D87="""","""",GOOGLETRANSLATE(D87,""ja"",""ko""))"),"호타테 버터 간장 구이")</f>
        <v>호타테 버터 간장 구이</v>
      </c>
      <c r="G87" s="28" t="s">
        <v>166</v>
      </c>
      <c r="H87" s="29" t="str">
        <f>IFERROR(__xludf.DUMMYFUNCTION("IF(G87="""","""",GOOGLETRANSLATE(G87,""ja"",""en""))"),"Scallops")</f>
        <v>Scallops</v>
      </c>
      <c r="I87" s="29" t="str">
        <f>IFERROR(__xludf.DUMMYFUNCTION("IF(G87="""","""",GOOGLETRANSLATE(G87,""ja"",""ko""))"),"호타테")</f>
        <v>호타테</v>
      </c>
      <c r="J87" s="30"/>
      <c r="K87" s="31">
        <v>1000.0</v>
      </c>
      <c r="L87" s="5"/>
      <c r="M87" s="29" t="str">
        <f>IFERROR(__xludf.DUMMYFUNCTION("IF(L87="""","""",GOOGLETRANSLATE(L87,""ja"",""en""))"),"")</f>
        <v/>
      </c>
      <c r="N87" s="29" t="str">
        <f>IFERROR(__xludf.DUMMYFUNCTION("IF(L87="""","""",GOOGLETRANSLATE(L87,""ja"",""ko""))"),"")</f>
        <v/>
      </c>
      <c r="O87" s="5"/>
    </row>
    <row r="88" ht="33.75" customHeight="1">
      <c r="A88" s="20"/>
      <c r="B88" s="28" t="s">
        <v>207</v>
      </c>
      <c r="C88" s="32"/>
      <c r="D88" s="28" t="s">
        <v>221</v>
      </c>
      <c r="E88" s="29" t="str">
        <f>IFERROR(__xludf.DUMMYFUNCTION("IF(D88="""","""",GOOGLETRANSLATE(D88,""ja"",""en""))"),"Grilled striped mackerel")</f>
        <v>Grilled striped mackerel</v>
      </c>
      <c r="F88" s="29" t="str">
        <f>IFERROR(__xludf.DUMMYFUNCTION("IF(D88="""","""",GOOGLETRANSLATE(D88,""ja"",""ko""))"),"구운 줄무늬 하키")</f>
        <v>구운 줄무늬 하키</v>
      </c>
      <c r="G88" s="28" t="s">
        <v>114</v>
      </c>
      <c r="H88" s="29" t="str">
        <f>IFERROR(__xludf.DUMMYFUNCTION("IF(G88="""","""",GOOGLETRANSLATE(G88,""ja"",""en""))"),"Atka mackerel")</f>
        <v>Atka mackerel</v>
      </c>
      <c r="I88" s="29" t="str">
        <f>IFERROR(__xludf.DUMMYFUNCTION("IF(G88="""","""",GOOGLETRANSLATE(G88,""ja"",""ko""))"),"호케")</f>
        <v>호케</v>
      </c>
      <c r="J88" s="30"/>
      <c r="K88" s="31">
        <v>1400.0</v>
      </c>
      <c r="L88" s="5"/>
      <c r="M88" s="29" t="str">
        <f>IFERROR(__xludf.DUMMYFUNCTION("IF(L88="""","""",GOOGLETRANSLATE(L88,""ja"",""en""))"),"")</f>
        <v/>
      </c>
      <c r="N88" s="29" t="str">
        <f>IFERROR(__xludf.DUMMYFUNCTION("IF(L88="""","""",GOOGLETRANSLATE(L88,""ja"",""ko""))"),"")</f>
        <v/>
      </c>
      <c r="O88" s="5"/>
    </row>
    <row r="89" ht="33.75" customHeight="1">
      <c r="A89" s="20"/>
      <c r="B89" s="28" t="s">
        <v>207</v>
      </c>
      <c r="C89" s="32"/>
      <c r="D89" s="28" t="s">
        <v>221</v>
      </c>
      <c r="E89" s="29" t="str">
        <f>IFERROR(__xludf.DUMMYFUNCTION("IF(D89="""","""",GOOGLETRANSLATE(D89,""ja"",""en""))"),"Grilled striped mackerel")</f>
        <v>Grilled striped mackerel</v>
      </c>
      <c r="F89" s="29" t="str">
        <f>IFERROR(__xludf.DUMMYFUNCTION("IF(D89="""","""",GOOGLETRANSLATE(D89,""ja"",""ko""))"),"구운 줄무늬 하키")</f>
        <v>구운 줄무늬 하키</v>
      </c>
      <c r="G89" s="28" t="s">
        <v>114</v>
      </c>
      <c r="H89" s="29" t="str">
        <f>IFERROR(__xludf.DUMMYFUNCTION("IF(G89="""","""",GOOGLETRANSLATE(G89,""ja"",""en""))"),"Atka mackerel")</f>
        <v>Atka mackerel</v>
      </c>
      <c r="I89" s="29" t="str">
        <f>IFERROR(__xludf.DUMMYFUNCTION("IF(G89="""","""",GOOGLETRANSLATE(G89,""ja"",""ko""))"),"호케")</f>
        <v>호케</v>
      </c>
      <c r="J89" s="30"/>
      <c r="K89" s="31">
        <v>800.0</v>
      </c>
      <c r="L89" s="5"/>
      <c r="M89" s="29" t="str">
        <f>IFERROR(__xludf.DUMMYFUNCTION("IF(L89="""","""",GOOGLETRANSLATE(L89,""ja"",""en""))"),"")</f>
        <v/>
      </c>
      <c r="N89" s="29" t="str">
        <f>IFERROR(__xludf.DUMMYFUNCTION("IF(L89="""","""",GOOGLETRANSLATE(L89,""ja"",""ko""))"),"")</f>
        <v/>
      </c>
      <c r="O89" s="5"/>
    </row>
    <row r="90" ht="33.75" customHeight="1">
      <c r="A90" s="20"/>
      <c r="B90" s="28" t="s">
        <v>207</v>
      </c>
      <c r="C90" s="32"/>
      <c r="D90" s="28" t="s">
        <v>222</v>
      </c>
      <c r="E90" s="29" t="str">
        <f>IFERROR(__xludf.DUMMYFUNCTION("IF(D90="""","""",GOOGLETRANSLATE(D90,""ja"",""en""))"),"Grilled eel")</f>
        <v>Grilled eel</v>
      </c>
      <c r="F90" s="29" t="str">
        <f>IFERROR(__xludf.DUMMYFUNCTION("IF(D90="""","""",GOOGLETRANSLATE(D90,""ja"",""ko""))"),"장어 구이")</f>
        <v>장어 구이</v>
      </c>
      <c r="G90" s="28" t="s">
        <v>160</v>
      </c>
      <c r="H90" s="29" t="str">
        <f>IFERROR(__xludf.DUMMYFUNCTION("IF(G90="""","""",GOOGLETRANSLATE(G90,""ja"",""en""))"),"eel")</f>
        <v>eel</v>
      </c>
      <c r="I90" s="29" t="str">
        <f>IFERROR(__xludf.DUMMYFUNCTION("IF(G90="""","""",GOOGLETRANSLATE(G90,""ja"",""ko""))"),"장어")</f>
        <v>장어</v>
      </c>
      <c r="J90" s="30"/>
      <c r="K90" s="31">
        <v>2980.0</v>
      </c>
      <c r="L90" s="5"/>
      <c r="M90" s="29" t="str">
        <f>IFERROR(__xludf.DUMMYFUNCTION("IF(L90="""","""",GOOGLETRANSLATE(L90,""ja"",""en""))"),"")</f>
        <v/>
      </c>
      <c r="N90" s="29" t="str">
        <f>IFERROR(__xludf.DUMMYFUNCTION("IF(L90="""","""",GOOGLETRANSLATE(L90,""ja"",""ko""))"),"")</f>
        <v/>
      </c>
      <c r="O90" s="5"/>
    </row>
    <row r="91" ht="33.75" customHeight="1">
      <c r="A91" s="20"/>
      <c r="B91" s="28" t="s">
        <v>207</v>
      </c>
      <c r="C91" s="32"/>
      <c r="D91" s="28" t="s">
        <v>223</v>
      </c>
      <c r="E91" s="29" t="str">
        <f>IFERROR(__xludf.DUMMYFUNCTION("IF(D91="""","""",GOOGLETRANSLATE(D91,""ja"",""en""))"),"Grilled eel (without sauce)")</f>
        <v>Grilled eel (without sauce)</v>
      </c>
      <c r="F91" s="29" t="str">
        <f>IFERROR(__xludf.DUMMYFUNCTION("IF(D91="""","""",GOOGLETRANSLATE(D91,""ja"",""ko""))"),"장어 구이")</f>
        <v>장어 구이</v>
      </c>
      <c r="G91" s="28" t="s">
        <v>160</v>
      </c>
      <c r="H91" s="29" t="str">
        <f>IFERROR(__xludf.DUMMYFUNCTION("IF(G91="""","""",GOOGLETRANSLATE(G91,""ja"",""en""))"),"eel")</f>
        <v>eel</v>
      </c>
      <c r="I91" s="29" t="str">
        <f>IFERROR(__xludf.DUMMYFUNCTION("IF(G91="""","""",GOOGLETRANSLATE(G91,""ja"",""ko""))"),"장어")</f>
        <v>장어</v>
      </c>
      <c r="J91" s="30"/>
      <c r="K91" s="31">
        <v>2980.0</v>
      </c>
      <c r="L91" s="5"/>
      <c r="M91" s="29" t="str">
        <f>IFERROR(__xludf.DUMMYFUNCTION("IF(L91="""","""",GOOGLETRANSLATE(L91,""ja"",""en""))"),"")</f>
        <v/>
      </c>
      <c r="N91" s="29" t="str">
        <f>IFERROR(__xludf.DUMMYFUNCTION("IF(L91="""","""",GOOGLETRANSLATE(L91,""ja"",""ko""))"),"")</f>
        <v/>
      </c>
      <c r="O91" s="5"/>
    </row>
    <row r="92" ht="33.75" customHeight="1">
      <c r="A92" s="20"/>
      <c r="B92" s="28" t="s">
        <v>224</v>
      </c>
      <c r="C92" s="32"/>
      <c r="D92" s="28" t="s">
        <v>225</v>
      </c>
      <c r="E92" s="29" t="str">
        <f>IFERROR(__xludf.DUMMYFUNCTION("IF(D92="""","""",GOOGLETRANSLATE(D92,""ja"",""en""))"),"Snow crab tempura")</f>
        <v>Snow crab tempura</v>
      </c>
      <c r="F92" s="29" t="str">
        <f>IFERROR(__xludf.DUMMYFUNCTION("IF(D92="""","""",GOOGLETRANSLATE(D92,""ja"",""ko""))"),"대게 튀김")</f>
        <v>대게 튀김</v>
      </c>
      <c r="G92" s="28" t="s">
        <v>226</v>
      </c>
      <c r="H92" s="29" t="str">
        <f>IFERROR(__xludf.DUMMYFUNCTION("IF(G92="""","""",GOOGLETRANSLATE(G92,""ja"",""en""))"),"Snow crab and shishito peppers")</f>
        <v>Snow crab and shishito peppers</v>
      </c>
      <c r="I92" s="29" t="str">
        <f>IFERROR(__xludf.DUMMYFUNCTION("IF(G92="""","""",GOOGLETRANSLATE(G92,""ja"",""ko""))"),"즐거움 · 시시 토")</f>
        <v>즐거움 · 시시 토</v>
      </c>
      <c r="J92" s="30"/>
      <c r="K92" s="31">
        <v>2800.0</v>
      </c>
      <c r="L92" s="5"/>
      <c r="M92" s="29" t="str">
        <f>IFERROR(__xludf.DUMMYFUNCTION("IF(L92="""","""",GOOGLETRANSLATE(L92,""ja"",""en""))"),"")</f>
        <v/>
      </c>
      <c r="N92" s="29" t="str">
        <f>IFERROR(__xludf.DUMMYFUNCTION("IF(L92="""","""",GOOGLETRANSLATE(L92,""ja"",""ko""))"),"")</f>
        <v/>
      </c>
      <c r="O92" s="5"/>
    </row>
    <row r="93" ht="33.75" customHeight="1">
      <c r="A93" s="20"/>
      <c r="B93" s="28" t="s">
        <v>224</v>
      </c>
      <c r="C93" s="32"/>
      <c r="D93" s="28" t="s">
        <v>227</v>
      </c>
      <c r="E93" s="29" t="str">
        <f>IFERROR(__xludf.DUMMYFUNCTION("IF(D93="""","""",GOOGLETRANSLATE(D93,""ja"",""en""))"),"King crab tempura")</f>
        <v>King crab tempura</v>
      </c>
      <c r="F93" s="29" t="str">
        <f>IFERROR(__xludf.DUMMYFUNCTION("IF(D93="""","""",GOOGLETRANSLATE(D93,""ja"",""ko""))"),"타라바가의 튀김")</f>
        <v>타라바가의 튀김</v>
      </c>
      <c r="G93" s="28" t="s">
        <v>228</v>
      </c>
      <c r="H93" s="29" t="str">
        <f>IFERROR(__xludf.DUMMYFUNCTION("IF(G93="""","""",GOOGLETRANSLATE(G93,""ja"",""en""))"),"King crab and shishito peppers")</f>
        <v>King crab and shishito peppers</v>
      </c>
      <c r="I93" s="29" t="str">
        <f>IFERROR(__xludf.DUMMYFUNCTION("IF(G93="""","""",GOOGLETRANSLATE(G93,""ja"",""ko""))"),"타라 바가니 · 시시 토")</f>
        <v>타라 바가니 · 시시 토</v>
      </c>
      <c r="J93" s="30"/>
      <c r="K93" s="31">
        <v>5800.0</v>
      </c>
      <c r="L93" s="5"/>
      <c r="M93" s="29" t="str">
        <f>IFERROR(__xludf.DUMMYFUNCTION("IF(L93="""","""",GOOGLETRANSLATE(L93,""ja"",""en""))"),"")</f>
        <v/>
      </c>
      <c r="N93" s="29" t="str">
        <f>IFERROR(__xludf.DUMMYFUNCTION("IF(L93="""","""",GOOGLETRANSLATE(L93,""ja"",""ko""))"),"")</f>
        <v/>
      </c>
      <c r="O93" s="5"/>
    </row>
    <row r="94" ht="33.75" customHeight="1">
      <c r="A94" s="20"/>
      <c r="B94" s="28" t="s">
        <v>224</v>
      </c>
      <c r="C94" s="32"/>
      <c r="D94" s="28" t="s">
        <v>229</v>
      </c>
      <c r="E94" s="29" t="str">
        <f>IFERROR(__xludf.DUMMYFUNCTION("IF(D94="""","""",GOOGLETRANSLATE(D94,""ja"",""en""))"),"Three pieces of shrimp tempura")</f>
        <v>Three pieces of shrimp tempura</v>
      </c>
      <c r="F94" s="29" t="str">
        <f>IFERROR(__xludf.DUMMYFUNCTION("IF(D94="""","""",GOOGLETRANSLATE(D94,""ja"",""ko""))"),"새우의 튀김 3개")</f>
        <v>새우의 튀김 3개</v>
      </c>
      <c r="G94" s="28" t="s">
        <v>230</v>
      </c>
      <c r="H94" s="29" t="str">
        <f>IFERROR(__xludf.DUMMYFUNCTION("IF(G94="""","""",GOOGLETRANSLATE(G94,""ja"",""en""))"),"Shrimp and green peppers")</f>
        <v>Shrimp and green peppers</v>
      </c>
      <c r="I94" s="29" t="str">
        <f>IFERROR(__xludf.DUMMYFUNCTION("IF(G94="""","""",GOOGLETRANSLATE(G94,""ja"",""ko""))"),"새우 · 시시 토")</f>
        <v>새우 · 시시 토</v>
      </c>
      <c r="J94" s="30"/>
      <c r="K94" s="31">
        <v>1320.0</v>
      </c>
      <c r="L94" s="5"/>
      <c r="M94" s="29" t="str">
        <f>IFERROR(__xludf.DUMMYFUNCTION("IF(L94="""","""",GOOGLETRANSLATE(L94,""ja"",""en""))"),"")</f>
        <v/>
      </c>
      <c r="N94" s="29" t="str">
        <f>IFERROR(__xludf.DUMMYFUNCTION("IF(L94="""","""",GOOGLETRANSLATE(L94,""ja"",""ko""))"),"")</f>
        <v/>
      </c>
      <c r="O94" s="5"/>
    </row>
    <row r="95" ht="33.75" customHeight="1">
      <c r="A95" s="20"/>
      <c r="B95" s="28" t="s">
        <v>224</v>
      </c>
      <c r="C95" s="32"/>
      <c r="D95" s="28" t="s">
        <v>231</v>
      </c>
      <c r="E95" s="29" t="str">
        <f>IFERROR(__xludf.DUMMYFUNCTION("IF(D95="""","""",GOOGLETRANSLATE(D95,""ja"",""en""))"),"Crab cream croquettes")</f>
        <v>Crab cream croquettes</v>
      </c>
      <c r="F95" s="29" t="str">
        <f>IFERROR(__xludf.DUMMYFUNCTION("IF(D95="""","""",GOOGLETRANSLATE(D95,""ja"",""ko""))"),"게 크림 고로케")</f>
        <v>게 크림 고로케</v>
      </c>
      <c r="G95" s="28" t="s">
        <v>232</v>
      </c>
      <c r="H95" s="29" t="str">
        <f>IFERROR(__xludf.DUMMYFUNCTION("IF(G95="""","""",GOOGLETRANSLATE(G95,""ja"",""en""))"),"Crab, wheat flour, milk, butter")</f>
        <v>Crab, wheat flour, milk, butter</v>
      </c>
      <c r="I95" s="29" t="str">
        <f>IFERROR(__xludf.DUMMYFUNCTION("IF(G95="""","""",GOOGLETRANSLATE(G95,""ja"",""ko""))"),"게, 밀가루, 우유, 버터")</f>
        <v>게, 밀가루, 우유, 버터</v>
      </c>
      <c r="J95" s="30"/>
      <c r="K95" s="31">
        <v>800.0</v>
      </c>
      <c r="L95" s="5"/>
      <c r="M95" s="29" t="str">
        <f>IFERROR(__xludf.DUMMYFUNCTION("IF(L95="""","""",GOOGLETRANSLATE(L95,""ja"",""en""))"),"")</f>
        <v/>
      </c>
      <c r="N95" s="29" t="str">
        <f>IFERROR(__xludf.DUMMYFUNCTION("IF(L95="""","""",GOOGLETRANSLATE(L95,""ja"",""ko""))"),"")</f>
        <v/>
      </c>
      <c r="O95" s="5"/>
    </row>
    <row r="96" ht="33.75" customHeight="1">
      <c r="A96" s="20"/>
      <c r="B96" s="28" t="s">
        <v>224</v>
      </c>
      <c r="C96" s="32"/>
      <c r="D96" s="28" t="s">
        <v>233</v>
      </c>
      <c r="E96" s="29" t="str">
        <f>IFERROR(__xludf.DUMMYFUNCTION("IF(D96="""","""",GOOGLETRANSLATE(D96,""ja"",""en""))"),"Crab cream croquettes (set of two)")</f>
        <v>Crab cream croquettes (set of two)</v>
      </c>
      <c r="F96" s="29" t="str">
        <f>IFERROR(__xludf.DUMMYFUNCTION("IF(D96="""","""",GOOGLETRANSLATE(D96,""ja"",""ko""))"),"게 크림 고로케(2개 세트)")</f>
        <v>게 크림 고로케(2개 세트)</v>
      </c>
      <c r="G96" s="28" t="s">
        <v>232</v>
      </c>
      <c r="H96" s="29" t="str">
        <f>IFERROR(__xludf.DUMMYFUNCTION("IF(G96="""","""",GOOGLETRANSLATE(G96,""ja"",""en""))"),"Crab, wheat flour, milk, butter")</f>
        <v>Crab, wheat flour, milk, butter</v>
      </c>
      <c r="I96" s="29" t="str">
        <f>IFERROR(__xludf.DUMMYFUNCTION("IF(G96="""","""",GOOGLETRANSLATE(G96,""ja"",""ko""))"),"게, 밀가루, 우유, 버터")</f>
        <v>게, 밀가루, 우유, 버터</v>
      </c>
      <c r="J96" s="30"/>
      <c r="K96" s="31">
        <v>1500.0</v>
      </c>
      <c r="L96" s="5"/>
      <c r="M96" s="29" t="str">
        <f>IFERROR(__xludf.DUMMYFUNCTION("IF(L96="""","""",GOOGLETRANSLATE(L96,""ja"",""en""))"),"")</f>
        <v/>
      </c>
      <c r="N96" s="29" t="str">
        <f>IFERROR(__xludf.DUMMYFUNCTION("IF(L96="""","""",GOOGLETRANSLATE(L96,""ja"",""ko""))"),"")</f>
        <v/>
      </c>
      <c r="O96" s="5"/>
    </row>
    <row r="97" ht="33.75" customHeight="1">
      <c r="A97" s="20"/>
      <c r="B97" s="28" t="s">
        <v>224</v>
      </c>
      <c r="C97" s="32"/>
      <c r="D97" s="28" t="s">
        <v>234</v>
      </c>
      <c r="E97" s="29" t="str">
        <f>IFERROR(__xludf.DUMMYFUNCTION("IF(D97="""","""",GOOGLETRANSLATE(D97,""ja"",""en""))"),"Squid rice croquettes (2-pack)")</f>
        <v>Squid rice croquettes (2-pack)</v>
      </c>
      <c r="F97" s="29" t="str">
        <f>IFERROR(__xludf.DUMMYFUNCTION("IF(D97="""","""",GOOGLETRANSLATE(D97,""ja"",""ko""))"),"이카메시 고로케 2개 세트")</f>
        <v>이카메시 고로케 2개 세트</v>
      </c>
      <c r="G97" s="28" t="s">
        <v>235</v>
      </c>
      <c r="H97" s="29" t="str">
        <f>IFERROR(__xludf.DUMMYFUNCTION("IF(G97="""","""",GOOGLETRANSLATE(G97,""ja"",""en""))"),"squid·")</f>
        <v>squid·</v>
      </c>
      <c r="I97" s="29" t="str">
        <f>IFERROR(__xludf.DUMMYFUNCTION("IF(G97="""","""",GOOGLETRANSLATE(G97,""ja"",""ko""))"),"오징어 ·")</f>
        <v>오징어 ·</v>
      </c>
      <c r="J97" s="30"/>
      <c r="K97" s="31">
        <v>700.0</v>
      </c>
      <c r="L97" s="5"/>
      <c r="M97" s="29" t="str">
        <f>IFERROR(__xludf.DUMMYFUNCTION("IF(L97="""","""",GOOGLETRANSLATE(L97,""ja"",""en""))"),"")</f>
        <v/>
      </c>
      <c r="N97" s="29" t="str">
        <f>IFERROR(__xludf.DUMMYFUNCTION("IF(L97="""","""",GOOGLETRANSLATE(L97,""ja"",""ko""))"),"")</f>
        <v/>
      </c>
      <c r="O97" s="5"/>
    </row>
    <row r="98" ht="33.75" customHeight="1">
      <c r="A98" s="20"/>
      <c r="B98" s="28" t="s">
        <v>224</v>
      </c>
      <c r="C98" s="32"/>
      <c r="D98" s="28" t="s">
        <v>236</v>
      </c>
      <c r="E98" s="29" t="str">
        <f>IFERROR(__xludf.DUMMYFUNCTION("IF(D98="""","""",GOOGLETRANSLATE(D98,""ja"",""en""))"),"Crab chips")</f>
        <v>Crab chips</v>
      </c>
      <c r="F98" s="29" t="str">
        <f>IFERROR(__xludf.DUMMYFUNCTION("IF(D98="""","""",GOOGLETRANSLATE(D98,""ja"",""ko""))"),"게 칩")</f>
        <v>게 칩</v>
      </c>
      <c r="G98" s="28" t="s">
        <v>237</v>
      </c>
      <c r="H98" s="29" t="str">
        <f>IFERROR(__xludf.DUMMYFUNCTION("IF(G98="""","""",GOOGLETRANSLATE(G98,""ja"",""en""))"),"Flat-clawed crab")</f>
        <v>Flat-clawed crab</v>
      </c>
      <c r="I98" s="29" t="str">
        <f>IFERROR(__xludf.DUMMYFUNCTION("IF(G98="""","""",GOOGLETRANSLATE(G98,""ja"",""ko""))"),"히라츠메가니")</f>
        <v>히라츠메가니</v>
      </c>
      <c r="J98" s="30"/>
      <c r="K98" s="31">
        <v>600.0</v>
      </c>
      <c r="L98" s="5"/>
      <c r="M98" s="29" t="str">
        <f>IFERROR(__xludf.DUMMYFUNCTION("IF(L98="""","""",GOOGLETRANSLATE(L98,""ja"",""en""))"),"")</f>
        <v/>
      </c>
      <c r="N98" s="29" t="str">
        <f>IFERROR(__xludf.DUMMYFUNCTION("IF(L98="""","""",GOOGLETRANSLATE(L98,""ja"",""ko""))"),"")</f>
        <v/>
      </c>
      <c r="O98" s="5"/>
    </row>
    <row r="99" ht="33.75" customHeight="1">
      <c r="A99" s="20"/>
      <c r="B99" s="5"/>
      <c r="C99" s="32"/>
      <c r="D99" s="28" t="s">
        <v>238</v>
      </c>
      <c r="E99" s="29" t="str">
        <f>IFERROR(__xludf.DUMMYFUNCTION("IF(D99="""","""",GOOGLETRANSLATE(D99,""ja"",""en""))"),"Draft Beer Set (Medium Size)")</f>
        <v>Draft Beer Set (Medium Size)</v>
      </c>
      <c r="F99" s="29" t="str">
        <f>IFERROR(__xludf.DUMMYFUNCTION("IF(D99="""","""",GOOGLETRANSLATE(D99,""ja"",""ko""))"),"생중 머그잔 세트")</f>
        <v>생중 머그잔 세트</v>
      </c>
      <c r="G99" s="28" t="s">
        <v>237</v>
      </c>
      <c r="H99" s="29" t="str">
        <f>IFERROR(__xludf.DUMMYFUNCTION("IF(G99="""","""",GOOGLETRANSLATE(G99,""ja"",""en""))"),"Flat-clawed crab")</f>
        <v>Flat-clawed crab</v>
      </c>
      <c r="I99" s="29" t="str">
        <f>IFERROR(__xludf.DUMMYFUNCTION("IF(G99="""","""",GOOGLETRANSLATE(G99,""ja"",""ko""))"),"히라츠메가니")</f>
        <v>히라츠메가니</v>
      </c>
      <c r="J99" s="30"/>
      <c r="K99" s="31">
        <v>1000.0</v>
      </c>
      <c r="L99" s="5"/>
      <c r="M99" s="29" t="str">
        <f>IFERROR(__xludf.DUMMYFUNCTION("IF(L99="""","""",GOOGLETRANSLATE(L99,""ja"",""en""))"),"")</f>
        <v/>
      </c>
      <c r="N99" s="29" t="str">
        <f>IFERROR(__xludf.DUMMYFUNCTION("IF(L99="""","""",GOOGLETRANSLATE(L99,""ja"",""ko""))"),"")</f>
        <v/>
      </c>
      <c r="O99" s="5"/>
    </row>
    <row r="100" ht="33.75" customHeight="1">
      <c r="A100" s="20"/>
      <c r="B100" s="28" t="s">
        <v>239</v>
      </c>
      <c r="C100" s="32"/>
      <c r="D100" s="28" t="s">
        <v>240</v>
      </c>
      <c r="E100" s="29" t="str">
        <f>IFERROR(__xludf.DUMMYFUNCTION("IF(D100="""","""",GOOGLETRANSLATE(D100,""ja"",""en""))"),"Sapporo Classic Draft Beer")</f>
        <v>Sapporo Classic Draft Beer</v>
      </c>
      <c r="F100" s="29" t="str">
        <f>IFERROR(__xludf.DUMMYFUNCTION("IF(D100="""","""",GOOGLETRANSLATE(D100,""ja"",""ko""))"),"생맥주 삿포로 클래식")</f>
        <v>생맥주 삿포로 클래식</v>
      </c>
      <c r="G100" s="5"/>
      <c r="H100" s="29" t="str">
        <f>IFERROR(__xludf.DUMMYFUNCTION("IF(G100="""","""",GOOGLETRANSLATE(G100,""ja"",""en""))"),"")</f>
        <v/>
      </c>
      <c r="I100" s="29" t="str">
        <f>IFERROR(__xludf.DUMMYFUNCTION("IF(G100="""","""",GOOGLETRANSLATE(G100,""ja"",""ko""))"),"")</f>
        <v/>
      </c>
      <c r="J100" s="30"/>
      <c r="K100" s="31">
        <v>660.0</v>
      </c>
      <c r="L100" s="28" t="s">
        <v>241</v>
      </c>
      <c r="M100" s="29" t="str">
        <f>IFERROR(__xludf.DUMMYFUNCTION("IF(L100="""","""",GOOGLETRANSLATE(L100,""ja"",""en""))"),"Alcohol and wheat")</f>
        <v>Alcohol and wheat</v>
      </c>
      <c r="N100" s="29" t="str">
        <f>IFERROR(__xludf.DUMMYFUNCTION("IF(L100="""","""",GOOGLETRANSLATE(L100,""ja"",""ko""))"),"알코올·밀")</f>
        <v>알코올·밀</v>
      </c>
      <c r="O100" s="5"/>
    </row>
    <row r="101" ht="33.75" customHeight="1">
      <c r="A101" s="20"/>
      <c r="B101" s="28" t="s">
        <v>239</v>
      </c>
      <c r="C101" s="32"/>
      <c r="D101" s="28" t="s">
        <v>242</v>
      </c>
      <c r="E101" s="29" t="str">
        <f>IFERROR(__xludf.DUMMYFUNCTION("IF(D101="""","""",GOOGLETRANSLATE(D101,""ja"",""en""))"),"Sapporo Classic (medium bottle)")</f>
        <v>Sapporo Classic (medium bottle)</v>
      </c>
      <c r="F101" s="29" t="str">
        <f>IFERROR(__xludf.DUMMYFUNCTION("IF(D101="""","""",GOOGLETRANSLATE(D101,""ja"",""ko""))"),"중병 삿포로 클래식")</f>
        <v>중병 삿포로 클래식</v>
      </c>
      <c r="G101" s="5"/>
      <c r="H101" s="29" t="str">
        <f>IFERROR(__xludf.DUMMYFUNCTION("IF(G101="""","""",GOOGLETRANSLATE(G101,""ja"",""en""))"),"")</f>
        <v/>
      </c>
      <c r="I101" s="29" t="str">
        <f>IFERROR(__xludf.DUMMYFUNCTION("IF(G101="""","""",GOOGLETRANSLATE(G101,""ja"",""ko""))"),"")</f>
        <v/>
      </c>
      <c r="J101" s="30"/>
      <c r="K101" s="31">
        <v>880.0</v>
      </c>
      <c r="L101" s="28" t="s">
        <v>241</v>
      </c>
      <c r="M101" s="29" t="str">
        <f>IFERROR(__xludf.DUMMYFUNCTION("IF(L101="""","""",GOOGLETRANSLATE(L101,""ja"",""en""))"),"Alcohol and wheat")</f>
        <v>Alcohol and wheat</v>
      </c>
      <c r="N101" s="29" t="str">
        <f>IFERROR(__xludf.DUMMYFUNCTION("IF(L101="""","""",GOOGLETRANSLATE(L101,""ja"",""ko""))"),"알코올·밀")</f>
        <v>알코올·밀</v>
      </c>
      <c r="O101" s="5"/>
    </row>
    <row r="102" ht="33.75" customHeight="1">
      <c r="A102" s="20"/>
      <c r="B102" s="28" t="s">
        <v>239</v>
      </c>
      <c r="C102" s="32"/>
      <c r="D102" s="28" t="s">
        <v>243</v>
      </c>
      <c r="E102" s="29" t="str">
        <f>IFERROR(__xludf.DUMMYFUNCTION("IF(D102="""","""",GOOGLETRANSLATE(D102,""ja"",""en""))"),"Kaku Highball")</f>
        <v>Kaku Highball</v>
      </c>
      <c r="F102" s="29" t="str">
        <f>IFERROR(__xludf.DUMMYFUNCTION("IF(D102="""","""",GOOGLETRANSLATE(D102,""ja"",""ko""))"),"뿔 하이볼")</f>
        <v>뿔 하이볼</v>
      </c>
      <c r="G102" s="5"/>
      <c r="H102" s="29" t="str">
        <f>IFERROR(__xludf.DUMMYFUNCTION("IF(G102="""","""",GOOGLETRANSLATE(G102,""ja"",""en""))"),"")</f>
        <v/>
      </c>
      <c r="I102" s="29" t="str">
        <f>IFERROR(__xludf.DUMMYFUNCTION("IF(G102="""","""",GOOGLETRANSLATE(G102,""ja"",""ko""))"),"")</f>
        <v/>
      </c>
      <c r="J102" s="30"/>
      <c r="K102" s="31">
        <v>550.0</v>
      </c>
      <c r="L102" s="28" t="s">
        <v>244</v>
      </c>
      <c r="M102" s="29" t="str">
        <f>IFERROR(__xludf.DUMMYFUNCTION("IF(L102="""","""",GOOGLETRANSLATE(L102,""ja"",""en""))"),"alcohol")</f>
        <v>alcohol</v>
      </c>
      <c r="N102" s="29" t="str">
        <f>IFERROR(__xludf.DUMMYFUNCTION("IF(L102="""","""",GOOGLETRANSLATE(L102,""ja"",""ko""))"),"알코올")</f>
        <v>알코올</v>
      </c>
      <c r="O102" s="5"/>
    </row>
    <row r="103" ht="33.75" customHeight="1">
      <c r="A103" s="20"/>
      <c r="B103" s="28" t="s">
        <v>239</v>
      </c>
      <c r="C103" s="32"/>
      <c r="D103" s="28" t="s">
        <v>245</v>
      </c>
      <c r="E103" s="29" t="str">
        <f>IFERROR(__xludf.DUMMYFUNCTION("IF(D103="""","""",GOOGLETRANSLATE(D103,""ja"",""en""))"),"sour")</f>
        <v>sour</v>
      </c>
      <c r="F103" s="29" t="str">
        <f>IFERROR(__xludf.DUMMYFUNCTION("IF(D103="""","""",GOOGLETRANSLATE(D103,""ja"",""ko""))"),"사워")</f>
        <v>사워</v>
      </c>
      <c r="G103" s="5"/>
      <c r="H103" s="29" t="str">
        <f>IFERROR(__xludf.DUMMYFUNCTION("IF(G103="""","""",GOOGLETRANSLATE(G103,""ja"",""en""))"),"")</f>
        <v/>
      </c>
      <c r="I103" s="29" t="str">
        <f>IFERROR(__xludf.DUMMYFUNCTION("IF(G103="""","""",GOOGLETRANSLATE(G103,""ja"",""ko""))"),"")</f>
        <v/>
      </c>
      <c r="J103" s="30"/>
      <c r="K103" s="31">
        <v>350.0</v>
      </c>
      <c r="L103" s="28" t="s">
        <v>244</v>
      </c>
      <c r="M103" s="29" t="str">
        <f>IFERROR(__xludf.DUMMYFUNCTION("IF(L103="""","""",GOOGLETRANSLATE(L103,""ja"",""en""))"),"alcohol")</f>
        <v>alcohol</v>
      </c>
      <c r="N103" s="29" t="str">
        <f>IFERROR(__xludf.DUMMYFUNCTION("IF(L103="""","""",GOOGLETRANSLATE(L103,""ja"",""ko""))"),"알코올")</f>
        <v>알코올</v>
      </c>
      <c r="O103" s="5"/>
    </row>
    <row r="104" ht="33.75" customHeight="1">
      <c r="A104" s="20"/>
      <c r="B104" s="28" t="s">
        <v>239</v>
      </c>
      <c r="C104" s="32"/>
      <c r="D104" s="28" t="s">
        <v>246</v>
      </c>
      <c r="E104" s="29" t="str">
        <f>IFERROR(__xludf.DUMMYFUNCTION("IF(D104="""","""",GOOGLETRANSLATE(D104,""ja"",""en""))"),"Lemon sour")</f>
        <v>Lemon sour</v>
      </c>
      <c r="F104" s="29" t="str">
        <f>IFERROR(__xludf.DUMMYFUNCTION("IF(D104="""","""",GOOGLETRANSLATE(D104,""ja"",""ko""))"),"레몬 사워")</f>
        <v>레몬 사워</v>
      </c>
      <c r="G104" s="5"/>
      <c r="H104" s="29" t="str">
        <f>IFERROR(__xludf.DUMMYFUNCTION("IF(G104="""","""",GOOGLETRANSLATE(G104,""ja"",""en""))"),"")</f>
        <v/>
      </c>
      <c r="I104" s="29" t="str">
        <f>IFERROR(__xludf.DUMMYFUNCTION("IF(G104="""","""",GOOGLETRANSLATE(G104,""ja"",""ko""))"),"")</f>
        <v/>
      </c>
      <c r="J104" s="30"/>
      <c r="K104" s="31">
        <v>440.0</v>
      </c>
      <c r="L104" s="28" t="s">
        <v>244</v>
      </c>
      <c r="M104" s="29" t="str">
        <f>IFERROR(__xludf.DUMMYFUNCTION("IF(L104="""","""",GOOGLETRANSLATE(L104,""ja"",""en""))"),"alcohol")</f>
        <v>alcohol</v>
      </c>
      <c r="N104" s="29" t="str">
        <f>IFERROR(__xludf.DUMMYFUNCTION("IF(L104="""","""",GOOGLETRANSLATE(L104,""ja"",""ko""))"),"알코올")</f>
        <v>알코올</v>
      </c>
      <c r="O104" s="5"/>
    </row>
    <row r="105" ht="33.75" customHeight="1">
      <c r="A105" s="20"/>
      <c r="B105" s="28" t="s">
        <v>239</v>
      </c>
      <c r="C105" s="32"/>
      <c r="D105" s="28" t="s">
        <v>247</v>
      </c>
      <c r="E105" s="29" t="str">
        <f>IFERROR(__xludf.DUMMYFUNCTION("IF(D105="""","""",GOOGLETRANSLATE(D105,""ja"",""en""))"),"Kunimare Sake Brewery Hokkai Onikoroshi")</f>
        <v>Kunimare Sake Brewery Hokkai Onikoroshi</v>
      </c>
      <c r="F105" s="29" t="str">
        <f>IFERROR(__xludf.DUMMYFUNCTION("IF(D105="""","""",GOOGLETRANSLATE(D105,""ja"",""ko""))"),"국희 주조 홋카이 오니 코로시")</f>
        <v>국희 주조 홋카이 오니 코로시</v>
      </c>
      <c r="G105" s="5"/>
      <c r="H105" s="29" t="str">
        <f>IFERROR(__xludf.DUMMYFUNCTION("IF(G105="""","""",GOOGLETRANSLATE(G105,""ja"",""en""))"),"")</f>
        <v/>
      </c>
      <c r="I105" s="29" t="str">
        <f>IFERROR(__xludf.DUMMYFUNCTION("IF(G105="""","""",GOOGLETRANSLATE(G105,""ja"",""ko""))"),"")</f>
        <v/>
      </c>
      <c r="J105" s="30"/>
      <c r="K105" s="31">
        <v>1100.0</v>
      </c>
      <c r="L105" s="28" t="s">
        <v>244</v>
      </c>
      <c r="M105" s="29" t="str">
        <f>IFERROR(__xludf.DUMMYFUNCTION("IF(L105="""","""",GOOGLETRANSLATE(L105,""ja"",""en""))"),"alcohol")</f>
        <v>alcohol</v>
      </c>
      <c r="N105" s="29" t="str">
        <f>IFERROR(__xludf.DUMMYFUNCTION("IF(L105="""","""",GOOGLETRANSLATE(L105,""ja"",""ko""))"),"알코올")</f>
        <v>알코올</v>
      </c>
      <c r="O105" s="5"/>
    </row>
    <row r="106" ht="33.75" customHeight="1">
      <c r="A106" s="20"/>
      <c r="B106" s="28" t="s">
        <v>239</v>
      </c>
      <c r="C106" s="34"/>
      <c r="D106" s="35" t="s">
        <v>248</v>
      </c>
      <c r="E106" s="36" t="str">
        <f>IFERROR(__xludf.DUMMYFUNCTION("IF(D106="""","""",GOOGLETRANSLATE(D106,""ja"",""en""))"),"Daisetsu no Kura Kinyuki")</f>
        <v>Daisetsu no Kura Kinyuki</v>
      </c>
      <c r="F106" s="36" t="str">
        <f>IFERROR(__xludf.DUMMYFUNCTION("IF(D106="""","""",GOOGLETRANSLATE(D106,""ja"",""ko""))"),"다이세츠노조라 비단설")</f>
        <v>다이세츠노조라 비단설</v>
      </c>
      <c r="G106" s="37"/>
      <c r="H106" s="36" t="str">
        <f>IFERROR(__xludf.DUMMYFUNCTION("IF(G106="""","""",GOOGLETRANSLATE(G106,""ja"",""en""))"),"")</f>
        <v/>
      </c>
      <c r="I106" s="36" t="str">
        <f>IFERROR(__xludf.DUMMYFUNCTION("IF(G106="""","""",GOOGLETRANSLATE(G106,""ja"",""ko""))"),"")</f>
        <v/>
      </c>
      <c r="J106" s="38"/>
      <c r="K106" s="39">
        <v>1250.0</v>
      </c>
      <c r="L106" s="35" t="s">
        <v>244</v>
      </c>
      <c r="M106" s="36" t="str">
        <f>IFERROR(__xludf.DUMMYFUNCTION("IF(L106="""","""",GOOGLETRANSLATE(L106,""ja"",""en""))"),"alcohol")</f>
        <v>alcohol</v>
      </c>
      <c r="N106" s="36" t="str">
        <f>IFERROR(__xludf.DUMMYFUNCTION("IF(L106="""","""",GOOGLETRANSLATE(L106,""ja"",""ko""))"),"알코올")</f>
        <v>알코올</v>
      </c>
      <c r="O106" s="37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6A663"/>
    <pageSetUpPr/>
  </sheetPr>
  <sheetViews>
    <sheetView showGridLines="0" workbookViewId="0"/>
  </sheetViews>
  <sheetFormatPr customHeight="1" defaultColWidth="12.63" defaultRowHeight="15.0"/>
  <cols>
    <col customWidth="1" min="1" max="1" width="20.0"/>
    <col customWidth="1" min="2" max="2" width="78.0"/>
    <col customWidth="1" min="3" max="26" width="8.63"/>
  </cols>
  <sheetData>
    <row r="2">
      <c r="A2" s="1" t="s">
        <v>0</v>
      </c>
    </row>
    <row r="4" ht="33.75" customHeight="1">
      <c r="A4" s="4" t="s">
        <v>2</v>
      </c>
      <c r="B4" s="4" t="s">
        <v>4</v>
      </c>
    </row>
    <row r="5" ht="33.75" customHeight="1">
      <c r="A5" s="5" t="s">
        <v>5</v>
      </c>
      <c r="B5" s="7" t="s">
        <v>6</v>
      </c>
    </row>
    <row r="6" ht="33.75" customHeight="1">
      <c r="A6" s="5" t="s">
        <v>8</v>
      </c>
      <c r="B6" s="7" t="s">
        <v>9</v>
      </c>
    </row>
    <row r="7" ht="33.75" customHeight="1">
      <c r="A7" s="5" t="s">
        <v>10</v>
      </c>
      <c r="B7" s="7" t="s">
        <v>11</v>
      </c>
    </row>
    <row r="8" ht="33.75" customHeight="1">
      <c r="A8" s="9"/>
      <c r="B8" s="9"/>
    </row>
    <row r="9" ht="33.75" customHeight="1">
      <c r="A9" s="10" t="s">
        <v>19</v>
      </c>
      <c r="B9" s="11">
        <v>0.1</v>
      </c>
    </row>
    <row r="10" ht="33.75" customHeight="1">
      <c r="A10" s="9" t="s">
        <v>26</v>
      </c>
      <c r="B10" s="9" t="s">
        <v>28</v>
      </c>
    </row>
    <row r="11" ht="33.75" customHeight="1">
      <c r="A11" s="9"/>
      <c r="B11" s="9"/>
    </row>
    <row r="12" ht="33.75" customHeight="1">
      <c r="A12" s="13" t="s">
        <v>30</v>
      </c>
      <c r="B12" s="13" t="s">
        <v>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